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E:\TRAIN_RNA\二次修订\qtm_0.5\0.642\FEP\"/>
    </mc:Choice>
  </mc:AlternateContent>
  <xr:revisionPtr revIDLastSave="0" documentId="13_ncr:1_{FF74BB00-BFA7-4738-84BE-4CEC9A9C57A6}" xr6:coauthVersionLast="36" xr6:coauthVersionMax="36" xr10:uidLastSave="{00000000-0000-0000-0000-000000000000}"/>
  <bookViews>
    <workbookView xWindow="0" yWindow="0" windowWidth="22260" windowHeight="12648" xr2:uid="{00000000-000D-0000-FFFF-FFFF00000000}"/>
  </bookViews>
  <sheets>
    <sheet name="merge" sheetId="7" r:id="rId1"/>
    <sheet name="1ETF" sheetId="1" r:id="rId2"/>
    <sheet name="1G70" sheetId="2" r:id="rId3"/>
    <sheet name="Sheet2" sheetId="3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" i="7" l="1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2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49F83C4-D5C1-474B-8A85-22D50DD06043}" keepAlive="1" name="查询 - 1780402451 59" description="与工作簿中“1780402451 59”查询的连接。" type="5" refreshedVersion="6" background="1">
    <dbPr connection="Provider=Microsoft.Mashup.OleDb.1;Data Source=$Workbook$;Location=1780402451 59;Extended Properties=&quot;&quot;" command="SELECT * FROM [1780402451 59]"/>
  </connection>
  <connection id="2" xr16:uid="{7D214E7A-145F-4B0A-9346-D4BF76586E3B}" keepAlive="1" name="查询 - 1780402521 37" description="与工作簿中“1780402521 37”查询的连接。" type="5" refreshedVersion="6" background="1">
    <dbPr connection="Provider=Microsoft.Mashup.OleDb.1;Data Source=$Workbook$;Location=1780402521 37;Extended Properties=&quot;&quot;" command="SELECT * FROM [1780402521 37]"/>
  </connection>
  <connection id="3" xr16:uid="{1AA5AEFF-3F6D-4956-B4E4-0DF2300F1D8D}" keepAlive="1" name="查询 - 2026060211495693854581153" description="与工作簿中“2026060211495693854581153”查询的连接。" type="5" refreshedVersion="6" background="1">
    <dbPr connection="Provider=Microsoft.Mashup.OleDb.1;Data Source=$Workbook$;Location=2026060211495693854581153;Extended Properties=&quot;&quot;" command="SELECT * FROM [2026060211495693854581153]"/>
  </connection>
  <connection id="4" xr16:uid="{08B4C1C1-622D-4EC4-BF8F-0CE4A08A921E}" keepAlive="1" name="查询 - 2026060211564831548404684" description="与工作簿中“2026060211564831548404684”查询的连接。" type="5" refreshedVersion="6" background="1">
    <dbPr connection="Provider=Microsoft.Mashup.OleDb.1;Data Source=$Workbook$;Location=2026060211564831548404684;Extended Properties=&quot;&quot;" command="SELECT * FROM [2026060211564831548404684]"/>
  </connection>
</connections>
</file>

<file path=xl/sharedStrings.xml><?xml version="1.0" encoding="utf-8"?>
<sst xmlns="http://schemas.openxmlformats.org/spreadsheetml/2006/main" count="551" uniqueCount="252">
  <si>
    <t>P1/R1</t>
  </si>
  <si>
    <t>Avg ΔG^comp (kcal/mol)</t>
  </si>
  <si>
    <t>Avg ΔG^free (kcal/mol)</t>
  </si>
  <si>
    <t>140.29 ± 0.29</t>
  </si>
  <si>
    <t>140.49 ± 0.39</t>
  </si>
  <si>
    <t>-0.20 ± 0.50</t>
  </si>
  <si>
    <t>20.08 ± 0.47</t>
  </si>
  <si>
    <t>17.69 ± 0.16</t>
  </si>
  <si>
    <t>2.39 ± 0.50</t>
  </si>
  <si>
    <t>267.38 ± 0.44</t>
  </si>
  <si>
    <t>262.26 ± 0.25</t>
  </si>
  <si>
    <t>5.12 ± 0.51</t>
  </si>
  <si>
    <t>56.87 ± 0.28</t>
  </si>
  <si>
    <t>56.35 ± 0.25</t>
  </si>
  <si>
    <t>0.52 ± 0.37</t>
  </si>
  <si>
    <t>267.88 ± 0.39</t>
  </si>
  <si>
    <t>263.18 ± 0.31</t>
  </si>
  <si>
    <t>4.70 ± 0.50</t>
  </si>
  <si>
    <t>266.72 ± 0.85</t>
  </si>
  <si>
    <t>262.75 ± 0.51</t>
  </si>
  <si>
    <t>3.97 ± 0.99</t>
  </si>
  <si>
    <t>82.18 ± 0.63</t>
  </si>
  <si>
    <t>78.45 ± 0.13</t>
  </si>
  <si>
    <t>3.73 ± 0.64</t>
  </si>
  <si>
    <t>265.15 ± 0.47</t>
  </si>
  <si>
    <t>261.95 ± 0.04</t>
  </si>
  <si>
    <t>3.20 ± 0.48</t>
  </si>
  <si>
    <t>268.68 ± 0.31</t>
  </si>
  <si>
    <t>264.10 ± 0.07</t>
  </si>
  <si>
    <t>4.58 ± 0.32</t>
  </si>
  <si>
    <t>266.35 ± 0.38</t>
  </si>
  <si>
    <t>262.77 ± 0.15</t>
  </si>
  <si>
    <t>3.58 ± 0.41</t>
  </si>
  <si>
    <t>267.55 ± 0.44</t>
  </si>
  <si>
    <t>263.31 ± 0.19</t>
  </si>
  <si>
    <t>4.24 ± 0.48</t>
  </si>
  <si>
    <t>-20.05 ± 0.18</t>
  </si>
  <si>
    <t>-19.45 ± 0.10</t>
  </si>
  <si>
    <t>-0.55 ± 0.21</t>
  </si>
  <si>
    <t>266.18 ± 0.38</t>
  </si>
  <si>
    <t>263.37 ± 0.06</t>
  </si>
  <si>
    <t>2.81 ± 0.38</t>
  </si>
  <si>
    <t>109.74 ± 0.52</t>
  </si>
  <si>
    <t>110.06 ± 0.14</t>
  </si>
  <si>
    <t>-0.32 ± 0.54</t>
  </si>
  <si>
    <t>266.05 ± 0.35</t>
  </si>
  <si>
    <t>263.59 ± 0.25</t>
  </si>
  <si>
    <t>2.46 ± 0.43</t>
  </si>
  <si>
    <t>57.97 ± 0.13</t>
  </si>
  <si>
    <t>57.96 ± 0.19</t>
  </si>
  <si>
    <t>0.01 ± 0.23</t>
  </si>
  <si>
    <t>264.89 ± 0.24</t>
  </si>
  <si>
    <t>263.61 ± 0.42</t>
  </si>
  <si>
    <t>1.28 ± 0.48</t>
  </si>
  <si>
    <t>263.58 ± 0.10</t>
  </si>
  <si>
    <t>262.92 ± 0.07</t>
  </si>
  <si>
    <t>0.66 ± 0.12</t>
  </si>
  <si>
    <t>-6.61 ± 0.25</t>
  </si>
  <si>
    <t>-6.63 ± 0.16</t>
  </si>
  <si>
    <t>0.02 ± 0.30</t>
  </si>
  <si>
    <t>-5.87 ± 0.12</t>
  </si>
  <si>
    <t>-5.31 ± 0.09</t>
  </si>
  <si>
    <t>-0.56 ± 0.15</t>
  </si>
  <si>
    <t>-5.60 ± 0.15</t>
  </si>
  <si>
    <t>-5.69 ± 0.02</t>
  </si>
  <si>
    <t>0.09 ± 0.15</t>
  </si>
  <si>
    <t>-6.21 ± 0.09</t>
  </si>
  <si>
    <t>-6.01 ± 0.06</t>
  </si>
  <si>
    <t>-0.2 ± 0.11</t>
  </si>
  <si>
    <t>-6.65 ± 0.14</t>
  </si>
  <si>
    <t>-6.82 ± 0.10</t>
  </si>
  <si>
    <t>0.17 ± 0.17</t>
  </si>
  <si>
    <t>P2/R2</t>
  </si>
  <si>
    <t>-4.83 ± 0.32</t>
  </si>
  <si>
    <t>-5.86 ± 0.04</t>
  </si>
  <si>
    <t>1.03 ± 0.32</t>
  </si>
  <si>
    <t>267.74 ± 0.20</t>
  </si>
  <si>
    <t>262.62 ± 0.35</t>
  </si>
  <si>
    <t>5.12 ± 40</t>
  </si>
  <si>
    <t>-11.42 ± 0.27</t>
  </si>
  <si>
    <t>-13.51 ± 0.07</t>
  </si>
  <si>
    <t>2.09 ± 0.28</t>
  </si>
  <si>
    <t>-2.57 ± 0.25</t>
  </si>
  <si>
    <t>-3.04 ± 0.08</t>
  </si>
  <si>
    <t>0.47 ± 0.26</t>
  </si>
  <si>
    <t>116.46 ± 0.08</t>
  </si>
  <si>
    <t>112.14 ± 0.28</t>
  </si>
  <si>
    <t>4.32 ± 0.29</t>
  </si>
  <si>
    <t>267.67 ± 0.14</t>
  </si>
  <si>
    <t>262.80 ± 0.12</t>
  </si>
  <si>
    <t>4.87 ± 0.18</t>
  </si>
  <si>
    <t>267.14 ± 0.32</t>
  </si>
  <si>
    <t>262.53 ± 0.21</t>
  </si>
  <si>
    <t>4.61 ± 0.38</t>
  </si>
  <si>
    <t>267.07 ± 0.73</t>
  </si>
  <si>
    <t>262.90 ± 0.30</t>
  </si>
  <si>
    <t>4.17 ± 0.79</t>
  </si>
  <si>
    <t>267.55 ± 0.33</t>
  </si>
  <si>
    <t>263.17 ± 0.28</t>
  </si>
  <si>
    <t>4.38 ± 0.43</t>
  </si>
  <si>
    <t>264.80 ± 0.73</t>
  </si>
  <si>
    <t>263.02 ± 0.14</t>
  </si>
  <si>
    <t>1.78 ± 0.74</t>
  </si>
  <si>
    <t>-5.72 ± 0.09</t>
  </si>
  <si>
    <t>-7.14 ± 0.24</t>
  </si>
  <si>
    <t>1.42 ± 0.26</t>
  </si>
  <si>
    <t>-5.75 ± 0.13</t>
  </si>
  <si>
    <t>-5.67 ± 0.27</t>
  </si>
  <si>
    <t>-0.08 ± 0.30</t>
  </si>
  <si>
    <t>-6.13 ± 0.05</t>
  </si>
  <si>
    <t>-6.31 ± 0.13</t>
  </si>
  <si>
    <t>0.18 ± 0.14</t>
  </si>
  <si>
    <t>-6.47 ± 0.13</t>
  </si>
  <si>
    <t>-6.65 ± 0.03</t>
  </si>
  <si>
    <t>0.18 ± 0.13</t>
  </si>
  <si>
    <t>ΔΔG (kcal/mol)</t>
    <phoneticPr fontId="1" type="noConversion"/>
  </si>
  <si>
    <t>ΔΔG</t>
  </si>
  <si>
    <r>
      <t>S7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A7</t>
    </r>
  </si>
  <si>
    <r>
      <t>R8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A8</t>
    </r>
  </si>
  <si>
    <r>
      <t>P9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A9</t>
    </r>
  </si>
  <si>
    <r>
      <t>S10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A10</t>
    </r>
  </si>
  <si>
    <r>
      <t>R14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A14</t>
    </r>
  </si>
  <si>
    <r>
      <t>R15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A15</t>
    </r>
  </si>
  <si>
    <r>
      <t>R16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A16</t>
    </r>
  </si>
  <si>
    <r>
      <t>R17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A17</t>
    </r>
  </si>
  <si>
    <r>
      <t>R18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A18</t>
    </r>
  </si>
  <si>
    <r>
      <t>A12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G12</t>
    </r>
  </si>
  <si>
    <r>
      <t>A19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G19</t>
    </r>
  </si>
  <si>
    <r>
      <t>A20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G20</t>
    </r>
  </si>
  <si>
    <r>
      <t>A21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G21</t>
    </r>
  </si>
  <si>
    <r>
      <t>D33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A33</t>
    </r>
  </si>
  <si>
    <r>
      <t>T34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A34</t>
    </r>
  </si>
  <si>
    <r>
      <t>R35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A35</t>
    </r>
  </si>
  <si>
    <r>
      <t>Q36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A36</t>
    </r>
  </si>
  <si>
    <r>
      <t>R38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A38</t>
    </r>
  </si>
  <si>
    <r>
      <t>R39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A39</t>
    </r>
  </si>
  <si>
    <r>
      <t>N40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A40</t>
    </r>
  </si>
  <si>
    <r>
      <t>R41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A41</t>
    </r>
  </si>
  <si>
    <r>
      <t>R42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A42</t>
    </r>
  </si>
  <si>
    <r>
      <t>R43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A43</t>
    </r>
  </si>
  <si>
    <r>
      <t>R44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A44</t>
    </r>
  </si>
  <si>
    <r>
      <t>R46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A46</t>
    </r>
  </si>
  <si>
    <r>
      <t>E47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A47</t>
    </r>
  </si>
  <si>
    <r>
      <t>R48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A48</t>
    </r>
  </si>
  <si>
    <r>
      <t>Q49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A49</t>
    </r>
  </si>
  <si>
    <r>
      <t>R50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A50</t>
    </r>
  </si>
  <si>
    <r>
      <t>R55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A55</t>
    </r>
  </si>
  <si>
    <r>
      <t>A37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G37</t>
    </r>
  </si>
  <si>
    <r>
      <t>A51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G51</t>
    </r>
  </si>
  <si>
    <r>
      <t>A52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G52</t>
    </r>
  </si>
  <si>
    <r>
      <t>A53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G53</t>
    </r>
  </si>
  <si>
    <r>
      <t>A54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G54</t>
    </r>
  </si>
  <si>
    <t>1ETF</t>
  </si>
  <si>
    <t>1ETF</t>
    <phoneticPr fontId="1" type="noConversion"/>
  </si>
  <si>
    <t>PDB</t>
    <phoneticPr fontId="1" type="noConversion"/>
  </si>
  <si>
    <t>CHAIN</t>
    <phoneticPr fontId="1" type="noConversion"/>
  </si>
  <si>
    <t>B</t>
    <phoneticPr fontId="1" type="noConversion"/>
  </si>
  <si>
    <t>1G70</t>
    <phoneticPr fontId="1" type="noConversion"/>
  </si>
  <si>
    <t>1G70</t>
  </si>
  <si>
    <t>B</t>
    <phoneticPr fontId="1" type="noConversion"/>
  </si>
  <si>
    <t>LABEL</t>
    <phoneticPr fontId="1" type="noConversion"/>
  </si>
  <si>
    <t>P</t>
  </si>
  <si>
    <t>1/R1</t>
  </si>
  <si>
    <t>D</t>
  </si>
  <si>
    <t>33A</t>
  </si>
  <si>
    <t>T</t>
  </si>
  <si>
    <t>34A</t>
  </si>
  <si>
    <t>R</t>
  </si>
  <si>
    <t>35A</t>
  </si>
  <si>
    <t>Q</t>
  </si>
  <si>
    <t>36A</t>
  </si>
  <si>
    <t>38A</t>
  </si>
  <si>
    <t>39A</t>
  </si>
  <si>
    <t>N</t>
  </si>
  <si>
    <t>40A</t>
  </si>
  <si>
    <t>41A</t>
  </si>
  <si>
    <t>42A</t>
  </si>
  <si>
    <t>43A</t>
  </si>
  <si>
    <t>44A</t>
  </si>
  <si>
    <t>45A</t>
  </si>
  <si>
    <t>46A</t>
  </si>
  <si>
    <t>E</t>
  </si>
  <si>
    <t>47A</t>
  </si>
  <si>
    <t>48A</t>
  </si>
  <si>
    <t>49A</t>
  </si>
  <si>
    <t>50A</t>
  </si>
  <si>
    <t>55A</t>
  </si>
  <si>
    <t>A</t>
  </si>
  <si>
    <t>37G</t>
  </si>
  <si>
    <t>51G</t>
  </si>
  <si>
    <t>52G</t>
  </si>
  <si>
    <t>53G</t>
  </si>
  <si>
    <t>54G</t>
  </si>
  <si>
    <t>S</t>
  </si>
  <si>
    <t>7A</t>
  </si>
  <si>
    <t>8A</t>
  </si>
  <si>
    <t>9A</t>
  </si>
  <si>
    <t>10A</t>
  </si>
  <si>
    <t>13A</t>
  </si>
  <si>
    <t>14A</t>
  </si>
  <si>
    <t>15A</t>
  </si>
  <si>
    <t>16A</t>
  </si>
  <si>
    <t>17A</t>
  </si>
  <si>
    <t>18A</t>
  </si>
  <si>
    <t>12G</t>
  </si>
  <si>
    <t>19G</t>
  </si>
  <si>
    <t>20G</t>
  </si>
  <si>
    <t>21G</t>
  </si>
  <si>
    <t>DB33A</t>
  </si>
  <si>
    <t>TB34A</t>
  </si>
  <si>
    <t>RB35A</t>
  </si>
  <si>
    <t>QB36A</t>
  </si>
  <si>
    <t>RB38A</t>
  </si>
  <si>
    <t>RB39A</t>
  </si>
  <si>
    <t>NB40A</t>
  </si>
  <si>
    <t>RB41A</t>
  </si>
  <si>
    <t>RB42A</t>
  </si>
  <si>
    <t>RB43A</t>
  </si>
  <si>
    <t>RB44A</t>
  </si>
  <si>
    <t>RB46A</t>
  </si>
  <si>
    <t>EB47A</t>
  </si>
  <si>
    <t>RB48A</t>
  </si>
  <si>
    <t>QB49A</t>
  </si>
  <si>
    <t>RB50A</t>
  </si>
  <si>
    <t>RB55A</t>
  </si>
  <si>
    <t>AB37G</t>
  </si>
  <si>
    <t>AB51G</t>
  </si>
  <si>
    <t>AB52G</t>
  </si>
  <si>
    <t>AB53G</t>
  </si>
  <si>
    <t>AB54G</t>
  </si>
  <si>
    <t>SB7A</t>
  </si>
  <si>
    <t>RB8A</t>
  </si>
  <si>
    <t>PB9A</t>
  </si>
  <si>
    <t>SB10A</t>
  </si>
  <si>
    <t>EB13A</t>
  </si>
  <si>
    <t>RB14A</t>
  </si>
  <si>
    <t>RB15A</t>
  </si>
  <si>
    <t>RB16A</t>
  </si>
  <si>
    <t>RB17A</t>
  </si>
  <si>
    <t>RB18A</t>
  </si>
  <si>
    <t>AB12G</t>
  </si>
  <si>
    <t>AB19G</t>
  </si>
  <si>
    <t>AB20G</t>
  </si>
  <si>
    <t>AB21G</t>
  </si>
  <si>
    <t>FoldX</t>
    <phoneticPr fontId="1" type="noConversion"/>
  </si>
  <si>
    <t>Pred-MutPRI</t>
    <phoneticPr fontId="1" type="noConversion"/>
  </si>
  <si>
    <t>PremPRI</t>
    <phoneticPr fontId="1" type="noConversion"/>
  </si>
  <si>
    <r>
      <t>W45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A45</t>
    </r>
    <phoneticPr fontId="1" type="noConversion"/>
  </si>
  <si>
    <t>W</t>
    <phoneticPr fontId="1" type="noConversion"/>
  </si>
  <si>
    <t>WB45A</t>
    <phoneticPr fontId="1" type="noConversion"/>
  </si>
  <si>
    <t>mCSM-NA</t>
    <phoneticPr fontId="1" type="noConversion"/>
  </si>
  <si>
    <r>
      <t>E13</t>
    </r>
    <r>
      <rPr>
        <sz val="11"/>
        <color rgb="FF1F2328"/>
        <rFont val="Segoe UI"/>
        <family val="2"/>
      </rPr>
      <t>→</t>
    </r>
    <r>
      <rPr>
        <sz val="11"/>
        <color rgb="FF1F2328"/>
        <rFont val="Calibri"/>
        <family val="2"/>
      </rPr>
      <t>A13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</si>
</sst>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Calibri"/>
      <family val="2"/>
    </font>
    <font>
      <sz val="11"/>
      <color rgb="FF1F2328"/>
      <name val="Calibri"/>
      <family val="2"/>
    </font>
    <font>
      <sz val="11"/>
      <color rgb="FF1F2328"/>
      <name val="Calibri"/>
      <family val="2"/>
    </font>
    <font>
      <sz val="11"/>
      <color rgb="FF1F2328"/>
      <name val="Segoe UI"/>
      <family val="2"/>
    </font>
    <font>
      <b/>
      <sz val="11"/>
      <color rgb="FF1F2328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等线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</fills>
  <borders count="4">
    <border>
      <left/>
      <right/>
      <top/>
      <bottom/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Fill="1"/>
    <xf numFmtId="0" fontId="2" fillId="0" borderId="0" xfId="0" applyFont="1"/>
    <xf numFmtId="0" fontId="4" fillId="2" borderId="1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4" fillId="3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horizontal="righ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2" fillId="0" borderId="0" xfId="0" applyFont="1" applyFill="1"/>
    <xf numFmtId="0" fontId="4" fillId="0" borderId="1" xfId="0" applyFont="1" applyFill="1" applyBorder="1" applyAlignment="1">
      <alignment vertical="center" wrapText="1"/>
    </xf>
    <xf numFmtId="0" fontId="4" fillId="0" borderId="1" xfId="0" applyFont="1" applyFill="1" applyBorder="1" applyAlignment="1">
      <alignment horizontal="right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8" fillId="0" borderId="0" xfId="0" applyFont="1"/>
    <xf numFmtId="0" fontId="7" fillId="0" borderId="0" xfId="0" applyFont="1" applyFill="1" applyAlignment="1">
      <alignment horizontal="center" vertical="center"/>
    </xf>
    <xf numFmtId="0" fontId="4" fillId="0" borderId="0" xfId="0" applyFont="1" applyFill="1" applyBorder="1" applyAlignment="1">
      <alignment horizontal="right" vertical="center" wrapText="1"/>
    </xf>
    <xf numFmtId="0" fontId="3" fillId="0" borderId="0" xfId="0" applyFont="1" applyFill="1" applyBorder="1" applyAlignment="1">
      <alignment horizontal="center" vertical="center" wrapText="1"/>
    </xf>
    <xf numFmtId="0" fontId="2" fillId="0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3" fillId="0" borderId="1" xfId="0" applyFont="1" applyFill="1" applyBorder="1" applyAlignment="1">
      <alignment vertical="center" wrapText="1"/>
    </xf>
    <xf numFmtId="0" fontId="0" fillId="0" borderId="2" xfId="0" applyFont="1" applyFill="1" applyBorder="1"/>
    <xf numFmtId="0" fontId="0" fillId="0" borderId="3" xfId="0" applyFont="1" applyFill="1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37CE4-F47C-4D05-8031-702EC92AD421}">
  <dimension ref="A1:L38"/>
  <sheetViews>
    <sheetView tabSelected="1" workbookViewId="0">
      <selection activeCell="L3" sqref="L3"/>
    </sheetView>
  </sheetViews>
  <sheetFormatPr defaultRowHeight="13.8" x14ac:dyDescent="0.25"/>
  <cols>
    <col min="2" max="10" width="23.77734375" customWidth="1"/>
  </cols>
  <sheetData>
    <row r="1" spans="1:12" ht="13.8" customHeight="1" thickBot="1" x14ac:dyDescent="0.3">
      <c r="A1" t="s">
        <v>154</v>
      </c>
      <c r="B1" s="7" t="s">
        <v>0</v>
      </c>
      <c r="C1" s="7" t="s">
        <v>1</v>
      </c>
      <c r="D1" s="7" t="s">
        <v>2</v>
      </c>
      <c r="E1" s="7" t="s">
        <v>115</v>
      </c>
      <c r="F1" s="15" t="s">
        <v>116</v>
      </c>
      <c r="G1" s="16" t="s">
        <v>245</v>
      </c>
      <c r="H1" s="17" t="s">
        <v>244</v>
      </c>
      <c r="I1" s="17" t="s">
        <v>246</v>
      </c>
      <c r="J1" s="17" t="s">
        <v>250</v>
      </c>
    </row>
    <row r="2" spans="1:12" ht="13.8" customHeight="1" thickBot="1" x14ac:dyDescent="0.35">
      <c r="A2" t="s">
        <v>153</v>
      </c>
      <c r="B2" s="9" t="s">
        <v>130</v>
      </c>
      <c r="C2" s="10" t="s">
        <v>3</v>
      </c>
      <c r="D2" s="10" t="s">
        <v>4</v>
      </c>
      <c r="E2" s="10" t="s">
        <v>5</v>
      </c>
      <c r="F2" s="14">
        <v>-0.2</v>
      </c>
      <c r="G2" s="8">
        <v>1.461867</v>
      </c>
      <c r="H2" s="1">
        <v>1.028299999999998</v>
      </c>
      <c r="I2" s="19">
        <v>0.03</v>
      </c>
      <c r="J2" s="20">
        <v>0.77249999999999996</v>
      </c>
      <c r="K2">
        <f>ABS(G2-F2)</f>
        <v>1.661867</v>
      </c>
      <c r="L2">
        <f>AVERAGE(K2:K38)</f>
        <v>1.2451563486486488</v>
      </c>
    </row>
    <row r="3" spans="1:12" ht="13.8" customHeight="1" thickBot="1" x14ac:dyDescent="0.35">
      <c r="A3" t="s">
        <v>153</v>
      </c>
      <c r="B3" s="9" t="s">
        <v>131</v>
      </c>
      <c r="C3" s="10" t="s">
        <v>6</v>
      </c>
      <c r="D3" s="10" t="s">
        <v>7</v>
      </c>
      <c r="E3" s="10" t="s">
        <v>8</v>
      </c>
      <c r="F3" s="14">
        <v>2.39</v>
      </c>
      <c r="G3" s="8">
        <v>1.0795250000000001</v>
      </c>
      <c r="H3" s="1">
        <v>4.2713999999999999</v>
      </c>
      <c r="I3" s="19">
        <v>1.86</v>
      </c>
      <c r="J3" s="20">
        <v>-2.6070000000000002</v>
      </c>
      <c r="K3">
        <f t="shared" ref="K3:K38" si="0">ABS(G3-F3)</f>
        <v>1.3104750000000001</v>
      </c>
    </row>
    <row r="4" spans="1:12" ht="13.8" customHeight="1" thickBot="1" x14ac:dyDescent="0.35">
      <c r="A4" t="s">
        <v>152</v>
      </c>
      <c r="B4" s="9" t="s">
        <v>132</v>
      </c>
      <c r="C4" s="10" t="s">
        <v>9</v>
      </c>
      <c r="D4" s="10" t="s">
        <v>10</v>
      </c>
      <c r="E4" s="10" t="s">
        <v>11</v>
      </c>
      <c r="F4" s="14">
        <v>5.12</v>
      </c>
      <c r="G4" s="8">
        <v>2.2677459999999998</v>
      </c>
      <c r="H4" s="1">
        <v>7.4948999999999977</v>
      </c>
      <c r="I4" s="19">
        <v>3.56</v>
      </c>
      <c r="J4" s="20">
        <v>12.6615</v>
      </c>
      <c r="K4">
        <f t="shared" si="0"/>
        <v>2.8522540000000003</v>
      </c>
    </row>
    <row r="5" spans="1:12" ht="13.8" customHeight="1" thickBot="1" x14ac:dyDescent="0.35">
      <c r="A5" t="s">
        <v>152</v>
      </c>
      <c r="B5" s="9" t="s">
        <v>133</v>
      </c>
      <c r="C5" s="10" t="s">
        <v>12</v>
      </c>
      <c r="D5" s="10" t="s">
        <v>13</v>
      </c>
      <c r="E5" s="10" t="s">
        <v>14</v>
      </c>
      <c r="F5" s="14">
        <v>0.52</v>
      </c>
      <c r="G5" s="8">
        <v>1.027183</v>
      </c>
      <c r="H5" s="1">
        <v>6.3099999999999987</v>
      </c>
      <c r="I5" s="19">
        <v>2.58</v>
      </c>
      <c r="J5" s="20">
        <v>6.9945000000000004</v>
      </c>
      <c r="K5">
        <f t="shared" si="0"/>
        <v>0.50718299999999994</v>
      </c>
    </row>
    <row r="6" spans="1:12" ht="13.8" customHeight="1" thickBot="1" x14ac:dyDescent="0.35">
      <c r="A6" t="s">
        <v>152</v>
      </c>
      <c r="B6" s="9" t="s">
        <v>134</v>
      </c>
      <c r="C6" s="10" t="s">
        <v>15</v>
      </c>
      <c r="D6" s="10" t="s">
        <v>16</v>
      </c>
      <c r="E6" s="10" t="s">
        <v>17</v>
      </c>
      <c r="F6" s="14">
        <v>4.7</v>
      </c>
      <c r="G6" s="8">
        <v>0.93309399999999998</v>
      </c>
      <c r="H6" s="1">
        <v>0.56099999999999994</v>
      </c>
      <c r="I6" s="19">
        <v>3.92</v>
      </c>
      <c r="J6" s="20">
        <v>2.1480000000000001</v>
      </c>
      <c r="K6">
        <f t="shared" si="0"/>
        <v>3.7669060000000001</v>
      </c>
    </row>
    <row r="7" spans="1:12" ht="13.8" customHeight="1" thickBot="1" x14ac:dyDescent="0.35">
      <c r="A7" t="s">
        <v>152</v>
      </c>
      <c r="B7" s="9" t="s">
        <v>135</v>
      </c>
      <c r="C7" s="10" t="s">
        <v>18</v>
      </c>
      <c r="D7" s="10" t="s">
        <v>19</v>
      </c>
      <c r="E7" s="10" t="s">
        <v>20</v>
      </c>
      <c r="F7" s="14">
        <v>3.97</v>
      </c>
      <c r="G7" s="8">
        <v>2.7713429999999999</v>
      </c>
      <c r="H7" s="1">
        <v>22.404160000000001</v>
      </c>
      <c r="I7" s="19">
        <v>4.68</v>
      </c>
      <c r="J7" s="20">
        <v>16.0185</v>
      </c>
      <c r="K7">
        <f t="shared" si="0"/>
        <v>1.1986570000000003</v>
      </c>
    </row>
    <row r="8" spans="1:12" ht="13.8" customHeight="1" thickBot="1" x14ac:dyDescent="0.35">
      <c r="A8" t="s">
        <v>152</v>
      </c>
      <c r="B8" s="9" t="s">
        <v>136</v>
      </c>
      <c r="C8" s="10" t="s">
        <v>21</v>
      </c>
      <c r="D8" s="10" t="s">
        <v>22</v>
      </c>
      <c r="E8" s="10" t="s">
        <v>23</v>
      </c>
      <c r="F8" s="14">
        <v>3.73</v>
      </c>
      <c r="G8" s="8">
        <v>1.9342539999999999</v>
      </c>
      <c r="H8" s="1">
        <v>10.969900000000001</v>
      </c>
      <c r="I8" s="19">
        <v>3.24</v>
      </c>
      <c r="J8" s="20">
        <v>7.7069999999999999</v>
      </c>
      <c r="K8">
        <f t="shared" si="0"/>
        <v>1.7957460000000001</v>
      </c>
    </row>
    <row r="9" spans="1:12" ht="13.8" customHeight="1" thickBot="1" x14ac:dyDescent="0.35">
      <c r="A9" t="s">
        <v>152</v>
      </c>
      <c r="B9" s="9" t="s">
        <v>137</v>
      </c>
      <c r="C9" s="10" t="s">
        <v>24</v>
      </c>
      <c r="D9" s="10" t="s">
        <v>25</v>
      </c>
      <c r="E9" s="10" t="s">
        <v>26</v>
      </c>
      <c r="F9" s="14">
        <v>3.2</v>
      </c>
      <c r="G9" s="8">
        <v>3.0028800000000002</v>
      </c>
      <c r="H9" s="1">
        <v>0.58970000000000056</v>
      </c>
      <c r="I9" s="19">
        <v>4.41</v>
      </c>
      <c r="J9" s="20">
        <v>-1.3845000000000001</v>
      </c>
      <c r="K9">
        <f t="shared" si="0"/>
        <v>0.19711999999999996</v>
      </c>
    </row>
    <row r="10" spans="1:12" ht="13.8" customHeight="1" thickBot="1" x14ac:dyDescent="0.35">
      <c r="A10" t="s">
        <v>152</v>
      </c>
      <c r="B10" s="9" t="s">
        <v>138</v>
      </c>
      <c r="C10" s="10" t="s">
        <v>27</v>
      </c>
      <c r="D10" s="10" t="s">
        <v>28</v>
      </c>
      <c r="E10" s="10" t="s">
        <v>29</v>
      </c>
      <c r="F10" s="14">
        <v>4.58</v>
      </c>
      <c r="G10" s="8">
        <v>1.9830429999999999</v>
      </c>
      <c r="H10" s="1">
        <v>1.5436999999999981</v>
      </c>
      <c r="I10" s="19">
        <v>3.99</v>
      </c>
      <c r="J10" s="20">
        <v>9.5265000000000004</v>
      </c>
      <c r="K10">
        <f t="shared" si="0"/>
        <v>2.5969570000000002</v>
      </c>
    </row>
    <row r="11" spans="1:12" ht="13.8" customHeight="1" thickBot="1" x14ac:dyDescent="0.35">
      <c r="A11" t="s">
        <v>152</v>
      </c>
      <c r="B11" s="9" t="s">
        <v>139</v>
      </c>
      <c r="C11" s="10" t="s">
        <v>30</v>
      </c>
      <c r="D11" s="10" t="s">
        <v>31</v>
      </c>
      <c r="E11" s="10" t="s">
        <v>32</v>
      </c>
      <c r="F11" s="14">
        <v>3.58</v>
      </c>
      <c r="G11" s="8">
        <v>1.7413799999999999</v>
      </c>
      <c r="H11" s="1">
        <v>9.4627999999999979</v>
      </c>
      <c r="I11" s="19">
        <v>5.54</v>
      </c>
      <c r="J11" s="20">
        <v>13.6275</v>
      </c>
      <c r="K11">
        <f t="shared" si="0"/>
        <v>1.8386200000000001</v>
      </c>
    </row>
    <row r="12" spans="1:12" ht="13.8" customHeight="1" thickBot="1" x14ac:dyDescent="0.35">
      <c r="A12" t="s">
        <v>152</v>
      </c>
      <c r="B12" s="9" t="s">
        <v>140</v>
      </c>
      <c r="C12" s="10" t="s">
        <v>33</v>
      </c>
      <c r="D12" s="10" t="s">
        <v>34</v>
      </c>
      <c r="E12" s="10" t="s">
        <v>35</v>
      </c>
      <c r="F12" s="14">
        <v>4.24</v>
      </c>
      <c r="G12" s="8">
        <v>2.4034870000000002</v>
      </c>
      <c r="H12" s="1">
        <v>4.2779999999999987</v>
      </c>
      <c r="I12" s="19">
        <v>4.38</v>
      </c>
      <c r="J12" s="20">
        <v>9.0570000000000004</v>
      </c>
      <c r="K12">
        <f t="shared" si="0"/>
        <v>1.8365130000000001</v>
      </c>
    </row>
    <row r="13" spans="1:12" ht="13.8" customHeight="1" thickBot="1" x14ac:dyDescent="0.35">
      <c r="A13" t="s">
        <v>152</v>
      </c>
      <c r="B13" s="18" t="s">
        <v>247</v>
      </c>
      <c r="C13" s="10" t="s">
        <v>36</v>
      </c>
      <c r="D13" s="10" t="s">
        <v>37</v>
      </c>
      <c r="E13" s="10" t="s">
        <v>38</v>
      </c>
      <c r="F13" s="14">
        <v>-0.55000000000000004</v>
      </c>
      <c r="G13" s="8">
        <v>-6.5700999999999996E-2</v>
      </c>
      <c r="H13" s="1">
        <v>1.0811999999999991</v>
      </c>
      <c r="I13" s="19">
        <v>11.56</v>
      </c>
      <c r="J13" s="20">
        <v>-3.4784999999999999</v>
      </c>
      <c r="K13">
        <f t="shared" si="0"/>
        <v>0.48429900000000004</v>
      </c>
    </row>
    <row r="14" spans="1:12" ht="13.8" customHeight="1" thickBot="1" x14ac:dyDescent="0.35">
      <c r="A14" t="s">
        <v>152</v>
      </c>
      <c r="B14" s="9" t="s">
        <v>141</v>
      </c>
      <c r="C14" s="10" t="s">
        <v>39</v>
      </c>
      <c r="D14" s="10" t="s">
        <v>40</v>
      </c>
      <c r="E14" s="10" t="s">
        <v>41</v>
      </c>
      <c r="F14" s="14">
        <v>2.81</v>
      </c>
      <c r="G14" s="8">
        <v>2.0825870000000002</v>
      </c>
      <c r="H14" s="1">
        <v>0.66979999999999862</v>
      </c>
      <c r="I14" s="19">
        <v>4.5599999999999996</v>
      </c>
      <c r="J14" s="20">
        <v>11.4465</v>
      </c>
      <c r="K14">
        <f t="shared" si="0"/>
        <v>0.72741299999999987</v>
      </c>
    </row>
    <row r="15" spans="1:12" ht="13.8" customHeight="1" thickBot="1" x14ac:dyDescent="0.35">
      <c r="A15" t="s">
        <v>152</v>
      </c>
      <c r="B15" s="9" t="s">
        <v>142</v>
      </c>
      <c r="C15" s="10" t="s">
        <v>42</v>
      </c>
      <c r="D15" s="10" t="s">
        <v>43</v>
      </c>
      <c r="E15" s="10" t="s">
        <v>44</v>
      </c>
      <c r="F15" s="14">
        <v>-0.32</v>
      </c>
      <c r="G15" s="8">
        <v>0.46303899999999998</v>
      </c>
      <c r="H15" s="1">
        <v>6.2299000000000007</v>
      </c>
      <c r="I15" s="19">
        <v>1.73</v>
      </c>
      <c r="J15" s="20">
        <v>9.4860000000000007</v>
      </c>
      <c r="K15">
        <f t="shared" si="0"/>
        <v>0.78303900000000004</v>
      </c>
    </row>
    <row r="16" spans="1:12" ht="13.8" customHeight="1" thickBot="1" x14ac:dyDescent="0.35">
      <c r="A16" t="s">
        <v>152</v>
      </c>
      <c r="B16" s="9" t="s">
        <v>143</v>
      </c>
      <c r="C16" s="10" t="s">
        <v>45</v>
      </c>
      <c r="D16" s="10" t="s">
        <v>46</v>
      </c>
      <c r="E16" s="10" t="s">
        <v>47</v>
      </c>
      <c r="F16" s="14">
        <v>2.46</v>
      </c>
      <c r="G16" s="8">
        <v>1.505568</v>
      </c>
      <c r="H16" s="1">
        <v>3.6404000000000001</v>
      </c>
      <c r="I16" s="19">
        <v>4.37</v>
      </c>
      <c r="J16" s="20">
        <v>-1.4595</v>
      </c>
      <c r="K16">
        <f t="shared" si="0"/>
        <v>0.95443199999999995</v>
      </c>
    </row>
    <row r="17" spans="1:11" ht="13.8" customHeight="1" thickBot="1" x14ac:dyDescent="0.35">
      <c r="A17" t="s">
        <v>152</v>
      </c>
      <c r="B17" s="9" t="s">
        <v>144</v>
      </c>
      <c r="C17" s="10" t="s">
        <v>48</v>
      </c>
      <c r="D17" s="10" t="s">
        <v>49</v>
      </c>
      <c r="E17" s="10" t="s">
        <v>50</v>
      </c>
      <c r="F17" s="14">
        <v>0.01</v>
      </c>
      <c r="G17" s="8">
        <v>1.021517</v>
      </c>
      <c r="H17" s="1">
        <v>0.86059999999999803</v>
      </c>
      <c r="I17" s="19">
        <v>2.3199999999999998</v>
      </c>
      <c r="J17" s="20">
        <v>2.6789999999999998</v>
      </c>
      <c r="K17">
        <f t="shared" si="0"/>
        <v>1.011517</v>
      </c>
    </row>
    <row r="18" spans="1:11" ht="13.8" customHeight="1" thickBot="1" x14ac:dyDescent="0.35">
      <c r="A18" t="s">
        <v>152</v>
      </c>
      <c r="B18" s="9" t="s">
        <v>145</v>
      </c>
      <c r="C18" s="10" t="s">
        <v>51</v>
      </c>
      <c r="D18" s="10" t="s">
        <v>52</v>
      </c>
      <c r="E18" s="10" t="s">
        <v>53</v>
      </c>
      <c r="F18" s="14">
        <v>1.28</v>
      </c>
      <c r="G18" s="8">
        <v>1.3825609999999999</v>
      </c>
      <c r="H18" s="1">
        <v>5.0999999999987722E-3</v>
      </c>
      <c r="I18" s="19">
        <v>3.37</v>
      </c>
      <c r="J18" s="20">
        <v>2.0474999999999999</v>
      </c>
      <c r="K18">
        <f t="shared" si="0"/>
        <v>0.1025609999999999</v>
      </c>
    </row>
    <row r="19" spans="1:11" ht="13.8" customHeight="1" thickBot="1" x14ac:dyDescent="0.35">
      <c r="A19" t="s">
        <v>152</v>
      </c>
      <c r="B19" s="9" t="s">
        <v>146</v>
      </c>
      <c r="C19" s="10" t="s">
        <v>54</v>
      </c>
      <c r="D19" s="10" t="s">
        <v>55</v>
      </c>
      <c r="E19" s="10" t="s">
        <v>56</v>
      </c>
      <c r="F19" s="14">
        <v>0.66</v>
      </c>
      <c r="G19" s="8">
        <v>0.89024099999999995</v>
      </c>
      <c r="H19" s="1">
        <v>0</v>
      </c>
      <c r="I19" s="19">
        <v>3.17</v>
      </c>
      <c r="J19" s="20">
        <v>-2.2965</v>
      </c>
      <c r="K19">
        <f t="shared" si="0"/>
        <v>0.23024099999999992</v>
      </c>
    </row>
    <row r="20" spans="1:11" ht="13.8" customHeight="1" thickBot="1" x14ac:dyDescent="0.35">
      <c r="A20" t="s">
        <v>152</v>
      </c>
      <c r="B20" s="3" t="s">
        <v>147</v>
      </c>
      <c r="C20" s="4" t="s">
        <v>57</v>
      </c>
      <c r="D20" s="4" t="s">
        <v>58</v>
      </c>
      <c r="E20" s="4" t="s">
        <v>59</v>
      </c>
      <c r="F20" s="14">
        <v>0.02</v>
      </c>
      <c r="G20" s="2">
        <v>1.67039</v>
      </c>
      <c r="H20">
        <v>0.67559999999999931</v>
      </c>
      <c r="I20">
        <v>2.15</v>
      </c>
      <c r="J20">
        <v>0.52800000000000002</v>
      </c>
      <c r="K20">
        <f t="shared" si="0"/>
        <v>1.65039</v>
      </c>
    </row>
    <row r="21" spans="1:11" ht="13.8" customHeight="1" thickBot="1" x14ac:dyDescent="0.35">
      <c r="A21" t="s">
        <v>152</v>
      </c>
      <c r="B21" s="5" t="s">
        <v>148</v>
      </c>
      <c r="C21" s="6" t="s">
        <v>60</v>
      </c>
      <c r="D21" s="6" t="s">
        <v>61</v>
      </c>
      <c r="E21" s="6" t="s">
        <v>62</v>
      </c>
      <c r="F21" s="14">
        <v>-0.56000000000000005</v>
      </c>
      <c r="G21" s="2">
        <v>0.223579</v>
      </c>
      <c r="H21">
        <v>-1.599999999999824E-3</v>
      </c>
      <c r="I21">
        <v>1.96</v>
      </c>
      <c r="J21">
        <v>-3.7999999999999999E-2</v>
      </c>
      <c r="K21">
        <f t="shared" si="0"/>
        <v>0.78357900000000003</v>
      </c>
    </row>
    <row r="22" spans="1:11" ht="13.8" customHeight="1" thickBot="1" x14ac:dyDescent="0.35">
      <c r="A22" t="s">
        <v>152</v>
      </c>
      <c r="B22" s="3" t="s">
        <v>149</v>
      </c>
      <c r="C22" s="4" t="s">
        <v>63</v>
      </c>
      <c r="D22" s="4" t="s">
        <v>64</v>
      </c>
      <c r="E22" s="4" t="s">
        <v>65</v>
      </c>
      <c r="F22" s="14">
        <v>0.09</v>
      </c>
      <c r="G22" s="2">
        <v>0.40840700000000002</v>
      </c>
      <c r="H22">
        <v>0.38719999999999999</v>
      </c>
      <c r="I22">
        <v>1.92</v>
      </c>
      <c r="J22">
        <v>7.0000000000000001E-3</v>
      </c>
      <c r="K22">
        <f t="shared" si="0"/>
        <v>0.318407</v>
      </c>
    </row>
    <row r="23" spans="1:11" ht="13.8" customHeight="1" thickBot="1" x14ac:dyDescent="0.35">
      <c r="A23" t="s">
        <v>152</v>
      </c>
      <c r="B23" s="5" t="s">
        <v>150</v>
      </c>
      <c r="C23" s="6" t="s">
        <v>66</v>
      </c>
      <c r="D23" s="6" t="s">
        <v>67</v>
      </c>
      <c r="E23" s="6" t="s">
        <v>68</v>
      </c>
      <c r="F23" s="14">
        <v>-0.2</v>
      </c>
      <c r="G23" s="2">
        <v>0.85758800000000002</v>
      </c>
      <c r="H23">
        <v>1.0522999999999989</v>
      </c>
      <c r="I23">
        <v>1.77</v>
      </c>
      <c r="J23">
        <v>7.2999999999999995E-2</v>
      </c>
      <c r="K23">
        <f t="shared" si="0"/>
        <v>1.057588</v>
      </c>
    </row>
    <row r="24" spans="1:11" ht="13.8" customHeight="1" thickBot="1" x14ac:dyDescent="0.35">
      <c r="A24" t="s">
        <v>152</v>
      </c>
      <c r="B24" s="3" t="s">
        <v>151</v>
      </c>
      <c r="C24" s="4" t="s">
        <v>69</v>
      </c>
      <c r="D24" s="4" t="s">
        <v>70</v>
      </c>
      <c r="E24" s="4" t="s">
        <v>71</v>
      </c>
      <c r="F24" s="14">
        <v>0.17</v>
      </c>
      <c r="G24" s="2">
        <v>0.81627700000000003</v>
      </c>
      <c r="H24">
        <v>0</v>
      </c>
      <c r="I24">
        <v>1.67</v>
      </c>
      <c r="J24">
        <v>2.5000000000000001E-2</v>
      </c>
      <c r="K24">
        <f t="shared" si="0"/>
        <v>0.64627699999999999</v>
      </c>
    </row>
    <row r="25" spans="1:11" ht="13.8" customHeight="1" thickBot="1" x14ac:dyDescent="0.35">
      <c r="A25" t="s">
        <v>157</v>
      </c>
      <c r="B25" s="9" t="s">
        <v>117</v>
      </c>
      <c r="C25" s="10" t="s">
        <v>73</v>
      </c>
      <c r="D25" s="10" t="s">
        <v>74</v>
      </c>
      <c r="E25" s="10" t="s">
        <v>75</v>
      </c>
      <c r="F25" s="8">
        <v>1.03</v>
      </c>
      <c r="G25">
        <v>2.0459089000000001</v>
      </c>
      <c r="H25">
        <v>0.35609999999999958</v>
      </c>
      <c r="I25" s="19">
        <v>2.1</v>
      </c>
      <c r="J25" s="20">
        <v>3.1469999999999998</v>
      </c>
      <c r="K25">
        <f t="shared" si="0"/>
        <v>1.0159089000000001</v>
      </c>
    </row>
    <row r="26" spans="1:11" ht="13.8" customHeight="1" thickBot="1" x14ac:dyDescent="0.35">
      <c r="A26" t="s">
        <v>157</v>
      </c>
      <c r="B26" s="9" t="s">
        <v>118</v>
      </c>
      <c r="C26" s="10" t="s">
        <v>76</v>
      </c>
      <c r="D26" s="10" t="s">
        <v>77</v>
      </c>
      <c r="E26" s="10" t="s">
        <v>78</v>
      </c>
      <c r="F26" s="8">
        <v>5.12</v>
      </c>
      <c r="G26">
        <v>3.2297310000000001</v>
      </c>
      <c r="H26">
        <v>1.6526999999999989</v>
      </c>
      <c r="I26" s="19">
        <v>4.6100000000000003</v>
      </c>
      <c r="J26" s="20">
        <v>6.6059999999999999</v>
      </c>
      <c r="K26">
        <f t="shared" si="0"/>
        <v>1.890269</v>
      </c>
    </row>
    <row r="27" spans="1:11" ht="13.8" customHeight="1" thickBot="1" x14ac:dyDescent="0.35">
      <c r="A27" t="s">
        <v>158</v>
      </c>
      <c r="B27" s="9" t="s">
        <v>119</v>
      </c>
      <c r="C27" s="10" t="s">
        <v>79</v>
      </c>
      <c r="D27" s="10" t="s">
        <v>80</v>
      </c>
      <c r="E27" s="10" t="s">
        <v>81</v>
      </c>
      <c r="F27" s="8">
        <v>2.09</v>
      </c>
      <c r="G27">
        <v>2.309237</v>
      </c>
      <c r="H27">
        <v>4.0704999999999991</v>
      </c>
      <c r="I27" s="19">
        <v>2.97</v>
      </c>
      <c r="J27" s="20">
        <v>14.512499999999999</v>
      </c>
      <c r="K27">
        <f t="shared" si="0"/>
        <v>0.21923700000000013</v>
      </c>
    </row>
    <row r="28" spans="1:11" ht="13.8" customHeight="1" thickBot="1" x14ac:dyDescent="0.35">
      <c r="A28" t="s">
        <v>158</v>
      </c>
      <c r="B28" s="9" t="s">
        <v>120</v>
      </c>
      <c r="C28" s="10" t="s">
        <v>82</v>
      </c>
      <c r="D28" s="10" t="s">
        <v>83</v>
      </c>
      <c r="E28" s="10" t="s">
        <v>84</v>
      </c>
      <c r="F28" s="8">
        <v>0.47</v>
      </c>
      <c r="G28">
        <v>1.5271170000000001</v>
      </c>
      <c r="H28">
        <v>1.209099999999999</v>
      </c>
      <c r="I28" s="19">
        <v>2.85</v>
      </c>
      <c r="J28" s="20">
        <v>15.141</v>
      </c>
      <c r="K28">
        <f t="shared" si="0"/>
        <v>1.0571170000000001</v>
      </c>
    </row>
    <row r="29" spans="1:11" ht="13.8" customHeight="1" thickBot="1" x14ac:dyDescent="0.35">
      <c r="A29" t="s">
        <v>158</v>
      </c>
      <c r="B29" s="18" t="s">
        <v>251</v>
      </c>
      <c r="C29" s="10" t="s">
        <v>85</v>
      </c>
      <c r="D29" s="10" t="s">
        <v>86</v>
      </c>
      <c r="E29" s="10" t="s">
        <v>87</v>
      </c>
      <c r="F29" s="8">
        <v>4.32</v>
      </c>
      <c r="G29">
        <v>1.6078920000000001</v>
      </c>
      <c r="H29">
        <v>1.2014999999999989</v>
      </c>
      <c r="I29" s="19">
        <v>2.78</v>
      </c>
      <c r="J29" s="20">
        <v>24.130500000000001</v>
      </c>
      <c r="K29">
        <f t="shared" si="0"/>
        <v>2.7121080000000002</v>
      </c>
    </row>
    <row r="30" spans="1:11" ht="13.8" customHeight="1" thickBot="1" x14ac:dyDescent="0.35">
      <c r="A30" t="s">
        <v>158</v>
      </c>
      <c r="B30" s="9" t="s">
        <v>121</v>
      </c>
      <c r="C30" s="10" t="s">
        <v>88</v>
      </c>
      <c r="D30" s="10" t="s">
        <v>89</v>
      </c>
      <c r="E30" s="10" t="s">
        <v>90</v>
      </c>
      <c r="F30" s="8">
        <v>4.87</v>
      </c>
      <c r="G30">
        <v>2.444563</v>
      </c>
      <c r="H30">
        <v>7.7651899999999996</v>
      </c>
      <c r="I30" s="19">
        <v>1.9</v>
      </c>
      <c r="J30" s="20">
        <v>11.372999999999999</v>
      </c>
      <c r="K30">
        <f t="shared" si="0"/>
        <v>2.4254370000000001</v>
      </c>
    </row>
    <row r="31" spans="1:11" ht="13.8" customHeight="1" thickBot="1" x14ac:dyDescent="0.35">
      <c r="A31" t="s">
        <v>158</v>
      </c>
      <c r="B31" s="9" t="s">
        <v>122</v>
      </c>
      <c r="C31" s="10" t="s">
        <v>91</v>
      </c>
      <c r="D31" s="10" t="s">
        <v>92</v>
      </c>
      <c r="E31" s="10" t="s">
        <v>93</v>
      </c>
      <c r="F31" s="8">
        <v>4.16</v>
      </c>
      <c r="G31">
        <v>1.8002309999999999</v>
      </c>
      <c r="H31">
        <v>4.3638399999999997</v>
      </c>
      <c r="I31" s="19">
        <v>6.18</v>
      </c>
      <c r="J31" s="20">
        <v>17.8185</v>
      </c>
      <c r="K31">
        <f t="shared" si="0"/>
        <v>2.359769</v>
      </c>
    </row>
    <row r="32" spans="1:11" ht="13.8" customHeight="1" thickBot="1" x14ac:dyDescent="0.35">
      <c r="A32" t="s">
        <v>158</v>
      </c>
      <c r="B32" s="9" t="s">
        <v>123</v>
      </c>
      <c r="C32" s="10" t="s">
        <v>94</v>
      </c>
      <c r="D32" s="10" t="s">
        <v>95</v>
      </c>
      <c r="E32" s="10" t="s">
        <v>96</v>
      </c>
      <c r="F32" s="8">
        <v>4.17</v>
      </c>
      <c r="G32">
        <v>2.18811</v>
      </c>
      <c r="H32">
        <v>0.32169999999999987</v>
      </c>
      <c r="I32" s="19">
        <v>5.62</v>
      </c>
      <c r="J32" s="20">
        <v>17.655000000000001</v>
      </c>
      <c r="K32">
        <f t="shared" si="0"/>
        <v>1.9818899999999999</v>
      </c>
    </row>
    <row r="33" spans="1:11" ht="13.8" customHeight="1" thickBot="1" x14ac:dyDescent="0.35">
      <c r="A33" t="s">
        <v>158</v>
      </c>
      <c r="B33" s="9" t="s">
        <v>124</v>
      </c>
      <c r="C33" s="10" t="s">
        <v>97</v>
      </c>
      <c r="D33" s="10" t="s">
        <v>98</v>
      </c>
      <c r="E33" s="10" t="s">
        <v>99</v>
      </c>
      <c r="F33" s="8">
        <v>4.38</v>
      </c>
      <c r="G33">
        <v>2.365561</v>
      </c>
      <c r="H33">
        <v>0.75269999999999904</v>
      </c>
      <c r="I33" s="19">
        <v>5.79</v>
      </c>
      <c r="J33" s="20">
        <v>9.9719999999999995</v>
      </c>
      <c r="K33">
        <f t="shared" si="0"/>
        <v>2.0144389999999999</v>
      </c>
    </row>
    <row r="34" spans="1:11" ht="13.8" customHeight="1" thickBot="1" x14ac:dyDescent="0.35">
      <c r="A34" t="s">
        <v>158</v>
      </c>
      <c r="B34" s="9" t="s">
        <v>125</v>
      </c>
      <c r="C34" s="10" t="s">
        <v>100</v>
      </c>
      <c r="D34" s="10" t="s">
        <v>101</v>
      </c>
      <c r="E34" s="10" t="s">
        <v>102</v>
      </c>
      <c r="F34" s="8">
        <v>1.78</v>
      </c>
      <c r="G34">
        <v>2.5170430000000001</v>
      </c>
      <c r="H34">
        <v>0.45630000000000059</v>
      </c>
      <c r="I34" s="19">
        <v>5.74</v>
      </c>
      <c r="J34" s="20">
        <v>4.2104999999999997</v>
      </c>
      <c r="K34">
        <f t="shared" si="0"/>
        <v>0.73704300000000011</v>
      </c>
    </row>
    <row r="35" spans="1:11" ht="13.8" customHeight="1" thickBot="1" x14ac:dyDescent="0.35">
      <c r="A35" t="s">
        <v>158</v>
      </c>
      <c r="B35" s="9" t="s">
        <v>126</v>
      </c>
      <c r="C35" s="10" t="s">
        <v>103</v>
      </c>
      <c r="D35" s="10" t="s">
        <v>104</v>
      </c>
      <c r="E35" s="10" t="s">
        <v>105</v>
      </c>
      <c r="F35" s="8">
        <v>1.42</v>
      </c>
      <c r="G35">
        <v>1.213883</v>
      </c>
      <c r="H35">
        <v>0.1242000000000001</v>
      </c>
      <c r="I35" s="19">
        <v>5.09</v>
      </c>
      <c r="J35" s="20">
        <v>20.709</v>
      </c>
      <c r="K35">
        <f t="shared" si="0"/>
        <v>0.20611699999999988</v>
      </c>
    </row>
    <row r="36" spans="1:11" ht="13.8" customHeight="1" thickBot="1" x14ac:dyDescent="0.35">
      <c r="A36" t="s">
        <v>158</v>
      </c>
      <c r="B36" s="9" t="s">
        <v>127</v>
      </c>
      <c r="C36" s="10" t="s">
        <v>106</v>
      </c>
      <c r="D36" s="10" t="s">
        <v>107</v>
      </c>
      <c r="E36" s="10" t="s">
        <v>108</v>
      </c>
      <c r="F36" s="8">
        <v>-0.08</v>
      </c>
      <c r="G36">
        <v>0.11386</v>
      </c>
      <c r="H36">
        <v>1.0306999999999999</v>
      </c>
      <c r="I36" s="19">
        <v>2.73</v>
      </c>
      <c r="J36" s="20">
        <v>5.8034999999999997</v>
      </c>
      <c r="K36">
        <f t="shared" si="0"/>
        <v>0.19386</v>
      </c>
    </row>
    <row r="37" spans="1:11" ht="13.8" customHeight="1" thickBot="1" x14ac:dyDescent="0.35">
      <c r="A37" t="s">
        <v>158</v>
      </c>
      <c r="B37" s="9" t="s">
        <v>128</v>
      </c>
      <c r="C37" s="10" t="s">
        <v>109</v>
      </c>
      <c r="D37" s="10" t="s">
        <v>110</v>
      </c>
      <c r="E37" s="10" t="s">
        <v>111</v>
      </c>
      <c r="F37" s="8">
        <v>0.18</v>
      </c>
      <c r="G37">
        <v>0.89873999999999998</v>
      </c>
      <c r="H37">
        <v>-1.9999999999953391E-4</v>
      </c>
      <c r="I37" s="19">
        <v>2.2599999999999998</v>
      </c>
      <c r="J37" s="20">
        <v>2.7284999999999999</v>
      </c>
      <c r="K37">
        <f t="shared" si="0"/>
        <v>0.71873999999999993</v>
      </c>
    </row>
    <row r="38" spans="1:11" ht="13.8" customHeight="1" thickBot="1" x14ac:dyDescent="0.35">
      <c r="A38" t="s">
        <v>158</v>
      </c>
      <c r="B38" s="9" t="s">
        <v>129</v>
      </c>
      <c r="C38" s="10" t="s">
        <v>112</v>
      </c>
      <c r="D38" s="10" t="s">
        <v>113</v>
      </c>
      <c r="E38" s="10" t="s">
        <v>114</v>
      </c>
      <c r="F38" s="8">
        <v>0.18</v>
      </c>
      <c r="G38">
        <v>0.40680899999999998</v>
      </c>
      <c r="H38">
        <v>0.87330000000000041</v>
      </c>
      <c r="I38" s="19">
        <v>2.17</v>
      </c>
      <c r="J38" s="20">
        <v>1.1655</v>
      </c>
      <c r="K38">
        <f t="shared" si="0"/>
        <v>0.22680899999999998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workbookViewId="0">
      <selection activeCell="A26" sqref="A26"/>
    </sheetView>
  </sheetViews>
  <sheetFormatPr defaultRowHeight="13.8" x14ac:dyDescent="0.25"/>
  <cols>
    <col min="1" max="5" width="30.44140625" customWidth="1"/>
    <col min="6" max="6" width="22.5546875" customWidth="1"/>
    <col min="7" max="8" width="12.5546875" customWidth="1"/>
    <col min="9" max="9" width="14.6640625" customWidth="1"/>
  </cols>
  <sheetData>
    <row r="1" spans="1:9" s="17" customFormat="1" ht="13.8" customHeight="1" thickBot="1" x14ac:dyDescent="0.3">
      <c r="A1" s="7" t="s">
        <v>0</v>
      </c>
      <c r="B1" s="7" t="s">
        <v>1</v>
      </c>
      <c r="C1" s="7" t="s">
        <v>2</v>
      </c>
      <c r="D1" s="7" t="s">
        <v>115</v>
      </c>
      <c r="E1" s="15" t="s">
        <v>116</v>
      </c>
      <c r="F1" s="16" t="s">
        <v>245</v>
      </c>
      <c r="G1" s="17" t="s">
        <v>244</v>
      </c>
      <c r="H1" s="17" t="s">
        <v>246</v>
      </c>
      <c r="I1" s="17" t="s">
        <v>250</v>
      </c>
    </row>
    <row r="2" spans="1:9" s="1" customFormat="1" ht="13.8" customHeight="1" thickBot="1" x14ac:dyDescent="0.35">
      <c r="A2" s="9" t="s">
        <v>130</v>
      </c>
      <c r="B2" s="10" t="s">
        <v>3</v>
      </c>
      <c r="C2" s="10" t="s">
        <v>4</v>
      </c>
      <c r="D2" s="10" t="s">
        <v>5</v>
      </c>
      <c r="E2" s="14">
        <v>-0.2</v>
      </c>
      <c r="F2" s="8">
        <v>1.461867</v>
      </c>
      <c r="G2" s="1">
        <v>1.028299999999998</v>
      </c>
      <c r="H2" s="19">
        <v>0.03</v>
      </c>
      <c r="I2" s="20">
        <v>0.77249999999999996</v>
      </c>
    </row>
    <row r="3" spans="1:9" s="1" customFormat="1" ht="13.8" customHeight="1" thickBot="1" x14ac:dyDescent="0.35">
      <c r="A3" s="9" t="s">
        <v>131</v>
      </c>
      <c r="B3" s="10" t="s">
        <v>6</v>
      </c>
      <c r="C3" s="10" t="s">
        <v>7</v>
      </c>
      <c r="D3" s="10" t="s">
        <v>8</v>
      </c>
      <c r="E3" s="14">
        <v>2.39</v>
      </c>
      <c r="F3" s="8">
        <v>1.0795250000000001</v>
      </c>
      <c r="G3" s="1">
        <v>4.2713999999999999</v>
      </c>
      <c r="H3" s="19">
        <v>1.86</v>
      </c>
      <c r="I3" s="20">
        <v>-2.6070000000000002</v>
      </c>
    </row>
    <row r="4" spans="1:9" s="1" customFormat="1" ht="13.8" customHeight="1" thickBot="1" x14ac:dyDescent="0.35">
      <c r="A4" s="9" t="s">
        <v>132</v>
      </c>
      <c r="B4" s="10" t="s">
        <v>9</v>
      </c>
      <c r="C4" s="10" t="s">
        <v>10</v>
      </c>
      <c r="D4" s="10" t="s">
        <v>11</v>
      </c>
      <c r="E4" s="14">
        <v>5.12</v>
      </c>
      <c r="F4" s="8">
        <v>2.2677459999999998</v>
      </c>
      <c r="G4" s="1">
        <v>7.4948999999999977</v>
      </c>
      <c r="H4" s="19">
        <v>3.56</v>
      </c>
      <c r="I4" s="20">
        <v>12.6615</v>
      </c>
    </row>
    <row r="5" spans="1:9" s="1" customFormat="1" ht="13.8" customHeight="1" thickBot="1" x14ac:dyDescent="0.35">
      <c r="A5" s="9" t="s">
        <v>133</v>
      </c>
      <c r="B5" s="10" t="s">
        <v>12</v>
      </c>
      <c r="C5" s="10" t="s">
        <v>13</v>
      </c>
      <c r="D5" s="10" t="s">
        <v>14</v>
      </c>
      <c r="E5" s="14">
        <v>0.52</v>
      </c>
      <c r="F5" s="8">
        <v>1.027183</v>
      </c>
      <c r="G5" s="1">
        <v>6.3099999999999987</v>
      </c>
      <c r="H5" s="19">
        <v>2.58</v>
      </c>
      <c r="I5" s="20">
        <v>6.9945000000000004</v>
      </c>
    </row>
    <row r="6" spans="1:9" s="1" customFormat="1" ht="13.8" customHeight="1" thickBot="1" x14ac:dyDescent="0.35">
      <c r="A6" s="9" t="s">
        <v>134</v>
      </c>
      <c r="B6" s="10" t="s">
        <v>15</v>
      </c>
      <c r="C6" s="10" t="s">
        <v>16</v>
      </c>
      <c r="D6" s="10" t="s">
        <v>17</v>
      </c>
      <c r="E6" s="14">
        <v>4.7</v>
      </c>
      <c r="F6" s="8">
        <v>0.93309399999999998</v>
      </c>
      <c r="G6" s="1">
        <v>0.56099999999999994</v>
      </c>
      <c r="H6" s="19">
        <v>3.92</v>
      </c>
      <c r="I6" s="20">
        <v>2.1480000000000001</v>
      </c>
    </row>
    <row r="7" spans="1:9" s="1" customFormat="1" ht="13.8" customHeight="1" thickBot="1" x14ac:dyDescent="0.35">
      <c r="A7" s="9" t="s">
        <v>135</v>
      </c>
      <c r="B7" s="10" t="s">
        <v>18</v>
      </c>
      <c r="C7" s="10" t="s">
        <v>19</v>
      </c>
      <c r="D7" s="10" t="s">
        <v>20</v>
      </c>
      <c r="E7" s="14">
        <v>3.97</v>
      </c>
      <c r="F7" s="8">
        <v>2.7713429999999999</v>
      </c>
      <c r="G7" s="1">
        <v>22.404160000000001</v>
      </c>
      <c r="H7" s="19">
        <v>4.68</v>
      </c>
      <c r="I7" s="20">
        <v>16.0185</v>
      </c>
    </row>
    <row r="8" spans="1:9" s="1" customFormat="1" ht="13.8" customHeight="1" thickBot="1" x14ac:dyDescent="0.35">
      <c r="A8" s="9" t="s">
        <v>136</v>
      </c>
      <c r="B8" s="10" t="s">
        <v>21</v>
      </c>
      <c r="C8" s="10" t="s">
        <v>22</v>
      </c>
      <c r="D8" s="10" t="s">
        <v>23</v>
      </c>
      <c r="E8" s="14">
        <v>3.73</v>
      </c>
      <c r="F8" s="8">
        <v>1.9342539999999999</v>
      </c>
      <c r="G8" s="1">
        <v>10.969900000000001</v>
      </c>
      <c r="H8" s="19">
        <v>3.24</v>
      </c>
      <c r="I8" s="20">
        <v>7.7069999999999999</v>
      </c>
    </row>
    <row r="9" spans="1:9" s="1" customFormat="1" ht="13.8" customHeight="1" thickBot="1" x14ac:dyDescent="0.35">
      <c r="A9" s="9" t="s">
        <v>137</v>
      </c>
      <c r="B9" s="10" t="s">
        <v>24</v>
      </c>
      <c r="C9" s="10" t="s">
        <v>25</v>
      </c>
      <c r="D9" s="10" t="s">
        <v>26</v>
      </c>
      <c r="E9" s="14">
        <v>3.2</v>
      </c>
      <c r="F9" s="8">
        <v>3.0028800000000002</v>
      </c>
      <c r="G9" s="1">
        <v>0.58970000000000056</v>
      </c>
      <c r="H9" s="19">
        <v>4.41</v>
      </c>
      <c r="I9" s="20">
        <v>-1.3845000000000001</v>
      </c>
    </row>
    <row r="10" spans="1:9" s="1" customFormat="1" ht="13.8" customHeight="1" thickBot="1" x14ac:dyDescent="0.35">
      <c r="A10" s="9" t="s">
        <v>138</v>
      </c>
      <c r="B10" s="10" t="s">
        <v>27</v>
      </c>
      <c r="C10" s="10" t="s">
        <v>28</v>
      </c>
      <c r="D10" s="10" t="s">
        <v>29</v>
      </c>
      <c r="E10" s="14">
        <v>4.58</v>
      </c>
      <c r="F10" s="8">
        <v>1.9830429999999999</v>
      </c>
      <c r="G10" s="1">
        <v>1.5436999999999981</v>
      </c>
      <c r="H10" s="19">
        <v>3.99</v>
      </c>
      <c r="I10" s="20">
        <v>9.5265000000000004</v>
      </c>
    </row>
    <row r="11" spans="1:9" s="1" customFormat="1" ht="13.8" customHeight="1" thickBot="1" x14ac:dyDescent="0.35">
      <c r="A11" s="9" t="s">
        <v>139</v>
      </c>
      <c r="B11" s="10" t="s">
        <v>30</v>
      </c>
      <c r="C11" s="10" t="s">
        <v>31</v>
      </c>
      <c r="D11" s="10" t="s">
        <v>32</v>
      </c>
      <c r="E11" s="14">
        <v>3.58</v>
      </c>
      <c r="F11" s="8">
        <v>1.7413799999999999</v>
      </c>
      <c r="G11" s="1">
        <v>9.4627999999999979</v>
      </c>
      <c r="H11" s="19">
        <v>5.54</v>
      </c>
      <c r="I11" s="20">
        <v>13.6275</v>
      </c>
    </row>
    <row r="12" spans="1:9" s="1" customFormat="1" ht="13.8" customHeight="1" thickBot="1" x14ac:dyDescent="0.35">
      <c r="A12" s="9" t="s">
        <v>140</v>
      </c>
      <c r="B12" s="10" t="s">
        <v>33</v>
      </c>
      <c r="C12" s="10" t="s">
        <v>34</v>
      </c>
      <c r="D12" s="10" t="s">
        <v>35</v>
      </c>
      <c r="E12" s="14">
        <v>4.24</v>
      </c>
      <c r="F12" s="8">
        <v>2.4034870000000002</v>
      </c>
      <c r="G12" s="1">
        <v>4.2779999999999987</v>
      </c>
      <c r="H12" s="19">
        <v>4.38</v>
      </c>
      <c r="I12" s="20">
        <v>9.0570000000000004</v>
      </c>
    </row>
    <row r="13" spans="1:9" s="1" customFormat="1" ht="13.8" customHeight="1" thickBot="1" x14ac:dyDescent="0.35">
      <c r="A13" s="18" t="s">
        <v>247</v>
      </c>
      <c r="B13" s="10" t="s">
        <v>36</v>
      </c>
      <c r="C13" s="10" t="s">
        <v>37</v>
      </c>
      <c r="D13" s="10" t="s">
        <v>38</v>
      </c>
      <c r="E13" s="14">
        <v>-0.55000000000000004</v>
      </c>
      <c r="F13" s="8">
        <v>-6.5700999999999996E-2</v>
      </c>
      <c r="G13" s="1">
        <v>1.0811999999999991</v>
      </c>
      <c r="H13" s="19">
        <v>11.56</v>
      </c>
      <c r="I13" s="20">
        <v>-3.4784999999999999</v>
      </c>
    </row>
    <row r="14" spans="1:9" s="1" customFormat="1" ht="13.8" customHeight="1" thickBot="1" x14ac:dyDescent="0.35">
      <c r="A14" s="9" t="s">
        <v>141</v>
      </c>
      <c r="B14" s="10" t="s">
        <v>39</v>
      </c>
      <c r="C14" s="10" t="s">
        <v>40</v>
      </c>
      <c r="D14" s="10" t="s">
        <v>41</v>
      </c>
      <c r="E14" s="14">
        <v>2.81</v>
      </c>
      <c r="F14" s="8">
        <v>2.0825870000000002</v>
      </c>
      <c r="G14" s="1">
        <v>0.66979999999999862</v>
      </c>
      <c r="H14" s="19">
        <v>4.5599999999999996</v>
      </c>
      <c r="I14" s="20">
        <v>11.4465</v>
      </c>
    </row>
    <row r="15" spans="1:9" s="1" customFormat="1" ht="13.8" customHeight="1" thickBot="1" x14ac:dyDescent="0.35">
      <c r="A15" s="9" t="s">
        <v>142</v>
      </c>
      <c r="B15" s="10" t="s">
        <v>42</v>
      </c>
      <c r="C15" s="10" t="s">
        <v>43</v>
      </c>
      <c r="D15" s="10" t="s">
        <v>44</v>
      </c>
      <c r="E15" s="14">
        <v>-0.32</v>
      </c>
      <c r="F15" s="8">
        <v>0.46303899999999998</v>
      </c>
      <c r="G15" s="1">
        <v>6.2299000000000007</v>
      </c>
      <c r="H15" s="19">
        <v>1.73</v>
      </c>
      <c r="I15" s="20">
        <v>9.4860000000000007</v>
      </c>
    </row>
    <row r="16" spans="1:9" s="1" customFormat="1" ht="13.8" customHeight="1" thickBot="1" x14ac:dyDescent="0.35">
      <c r="A16" s="9" t="s">
        <v>143</v>
      </c>
      <c r="B16" s="10" t="s">
        <v>45</v>
      </c>
      <c r="C16" s="10" t="s">
        <v>46</v>
      </c>
      <c r="D16" s="10" t="s">
        <v>47</v>
      </c>
      <c r="E16" s="14">
        <v>2.46</v>
      </c>
      <c r="F16" s="8">
        <v>1.505568</v>
      </c>
      <c r="G16" s="1">
        <v>3.6404000000000001</v>
      </c>
      <c r="H16" s="19">
        <v>4.37</v>
      </c>
      <c r="I16" s="20">
        <v>-1.4595</v>
      </c>
    </row>
    <row r="17" spans="1:9" s="1" customFormat="1" ht="13.8" customHeight="1" thickBot="1" x14ac:dyDescent="0.35">
      <c r="A17" s="9" t="s">
        <v>144</v>
      </c>
      <c r="B17" s="10" t="s">
        <v>48</v>
      </c>
      <c r="C17" s="10" t="s">
        <v>49</v>
      </c>
      <c r="D17" s="10" t="s">
        <v>50</v>
      </c>
      <c r="E17" s="14">
        <v>0.01</v>
      </c>
      <c r="F17" s="8">
        <v>1.021517</v>
      </c>
      <c r="G17" s="1">
        <v>0.86059999999999803</v>
      </c>
      <c r="H17" s="19">
        <v>2.3199999999999998</v>
      </c>
      <c r="I17" s="20">
        <v>2.6789999999999998</v>
      </c>
    </row>
    <row r="18" spans="1:9" s="1" customFormat="1" ht="13.8" customHeight="1" thickBot="1" x14ac:dyDescent="0.35">
      <c r="A18" s="9" t="s">
        <v>145</v>
      </c>
      <c r="B18" s="10" t="s">
        <v>51</v>
      </c>
      <c r="C18" s="10" t="s">
        <v>52</v>
      </c>
      <c r="D18" s="10" t="s">
        <v>53</v>
      </c>
      <c r="E18" s="14">
        <v>1.28</v>
      </c>
      <c r="F18" s="8">
        <v>1.3825609999999999</v>
      </c>
      <c r="G18" s="1">
        <v>5.0999999999987722E-3</v>
      </c>
      <c r="H18" s="19">
        <v>3.37</v>
      </c>
      <c r="I18" s="20">
        <v>2.0474999999999999</v>
      </c>
    </row>
    <row r="19" spans="1:9" s="1" customFormat="1" ht="13.8" customHeight="1" thickBot="1" x14ac:dyDescent="0.35">
      <c r="A19" s="9" t="s">
        <v>146</v>
      </c>
      <c r="B19" s="10" t="s">
        <v>54</v>
      </c>
      <c r="C19" s="10" t="s">
        <v>55</v>
      </c>
      <c r="D19" s="10" t="s">
        <v>56</v>
      </c>
      <c r="E19" s="14">
        <v>0.66</v>
      </c>
      <c r="F19" s="8">
        <v>0.89024099999999995</v>
      </c>
      <c r="G19" s="1">
        <v>0</v>
      </c>
      <c r="H19" s="19">
        <v>3.17</v>
      </c>
      <c r="I19" s="20">
        <v>-2.2965</v>
      </c>
    </row>
    <row r="20" spans="1:9" ht="17.399999999999999" thickBot="1" x14ac:dyDescent="0.35">
      <c r="A20" s="3" t="s">
        <v>147</v>
      </c>
      <c r="B20" s="4" t="s">
        <v>57</v>
      </c>
      <c r="C20" s="4" t="s">
        <v>58</v>
      </c>
      <c r="D20" s="4" t="s">
        <v>59</v>
      </c>
      <c r="E20" s="14">
        <v>0.02</v>
      </c>
      <c r="F20" s="2">
        <v>1.67039</v>
      </c>
      <c r="G20">
        <v>0.67559999999999931</v>
      </c>
      <c r="H20">
        <v>2.15</v>
      </c>
      <c r="I20">
        <v>0.52800000000000002</v>
      </c>
    </row>
    <row r="21" spans="1:9" ht="17.399999999999999" thickBot="1" x14ac:dyDescent="0.35">
      <c r="A21" s="5" t="s">
        <v>148</v>
      </c>
      <c r="B21" s="6" t="s">
        <v>60</v>
      </c>
      <c r="C21" s="6" t="s">
        <v>61</v>
      </c>
      <c r="D21" s="6" t="s">
        <v>62</v>
      </c>
      <c r="E21" s="14">
        <v>-0.56000000000000005</v>
      </c>
      <c r="F21" s="2">
        <v>0.223579</v>
      </c>
      <c r="G21">
        <v>-1.599999999999824E-3</v>
      </c>
      <c r="H21">
        <v>1.96</v>
      </c>
      <c r="I21">
        <v>-3.7999999999999999E-2</v>
      </c>
    </row>
    <row r="22" spans="1:9" ht="17.399999999999999" thickBot="1" x14ac:dyDescent="0.35">
      <c r="A22" s="3" t="s">
        <v>149</v>
      </c>
      <c r="B22" s="4" t="s">
        <v>63</v>
      </c>
      <c r="C22" s="4" t="s">
        <v>64</v>
      </c>
      <c r="D22" s="4" t="s">
        <v>65</v>
      </c>
      <c r="E22" s="14">
        <v>0.09</v>
      </c>
      <c r="F22" s="2">
        <v>0.40840700000000002</v>
      </c>
      <c r="G22">
        <v>0.38719999999999999</v>
      </c>
      <c r="H22">
        <v>1.92</v>
      </c>
      <c r="I22">
        <v>7.0000000000000001E-3</v>
      </c>
    </row>
    <row r="23" spans="1:9" ht="17.399999999999999" thickBot="1" x14ac:dyDescent="0.35">
      <c r="A23" s="5" t="s">
        <v>150</v>
      </c>
      <c r="B23" s="6" t="s">
        <v>66</v>
      </c>
      <c r="C23" s="6" t="s">
        <v>67</v>
      </c>
      <c r="D23" s="6" t="s">
        <v>68</v>
      </c>
      <c r="E23" s="14">
        <v>-0.2</v>
      </c>
      <c r="F23" s="2">
        <v>0.85758800000000002</v>
      </c>
      <c r="G23">
        <v>1.0522999999999989</v>
      </c>
      <c r="H23">
        <v>1.77</v>
      </c>
      <c r="I23">
        <v>7.2999999999999995E-2</v>
      </c>
    </row>
    <row r="24" spans="1:9" ht="17.399999999999999" thickBot="1" x14ac:dyDescent="0.35">
      <c r="A24" s="3" t="s">
        <v>151</v>
      </c>
      <c r="B24" s="4" t="s">
        <v>69</v>
      </c>
      <c r="C24" s="4" t="s">
        <v>70</v>
      </c>
      <c r="D24" s="4" t="s">
        <v>71</v>
      </c>
      <c r="E24" s="14">
        <v>0.17</v>
      </c>
      <c r="F24" s="2">
        <v>0.81627700000000003</v>
      </c>
      <c r="G24">
        <v>0</v>
      </c>
      <c r="H24">
        <v>1.67</v>
      </c>
      <c r="I24">
        <v>2.5000000000000001E-2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C8EFA-BE8D-48DE-BBE8-BD926A95A3D5}">
  <dimension ref="A1:I22"/>
  <sheetViews>
    <sheetView workbookViewId="0">
      <selection activeCell="F18" sqref="F18"/>
    </sheetView>
  </sheetViews>
  <sheetFormatPr defaultRowHeight="13.8" x14ac:dyDescent="0.25"/>
  <cols>
    <col min="1" max="4" width="28.44140625" customWidth="1"/>
    <col min="5" max="5" width="15.88671875" customWidth="1"/>
    <col min="6" max="6" width="16.33203125" customWidth="1"/>
    <col min="7" max="7" width="11.44140625" customWidth="1"/>
    <col min="8" max="8" width="11.6640625" customWidth="1"/>
  </cols>
  <sheetData>
    <row r="1" spans="1:9" s="12" customFormat="1" ht="13.8" customHeight="1" thickBot="1" x14ac:dyDescent="0.3">
      <c r="A1" s="11" t="s">
        <v>72</v>
      </c>
      <c r="B1" s="11" t="s">
        <v>1</v>
      </c>
      <c r="C1" s="11" t="s">
        <v>2</v>
      </c>
      <c r="D1" s="11" t="s">
        <v>115</v>
      </c>
      <c r="E1" s="13" t="s">
        <v>116</v>
      </c>
      <c r="F1" s="16" t="s">
        <v>245</v>
      </c>
      <c r="G1" s="12" t="s">
        <v>244</v>
      </c>
      <c r="H1" s="12" t="s">
        <v>246</v>
      </c>
      <c r="I1" s="17" t="s">
        <v>250</v>
      </c>
    </row>
    <row r="2" spans="1:9" ht="13.8" customHeight="1" thickBot="1" x14ac:dyDescent="0.35">
      <c r="A2" s="9" t="s">
        <v>117</v>
      </c>
      <c r="B2" s="10" t="s">
        <v>73</v>
      </c>
      <c r="C2" s="10" t="s">
        <v>74</v>
      </c>
      <c r="D2" s="10" t="s">
        <v>75</v>
      </c>
      <c r="E2" s="8">
        <v>1.03</v>
      </c>
      <c r="F2">
        <v>2.0459089000000001</v>
      </c>
      <c r="G2">
        <v>0.35609999999999958</v>
      </c>
      <c r="H2" s="19">
        <v>2.1</v>
      </c>
      <c r="I2" s="20">
        <v>3.1469999999999998</v>
      </c>
    </row>
    <row r="3" spans="1:9" ht="13.8" customHeight="1" thickBot="1" x14ac:dyDescent="0.35">
      <c r="A3" s="9" t="s">
        <v>118</v>
      </c>
      <c r="B3" s="10" t="s">
        <v>76</v>
      </c>
      <c r="C3" s="10" t="s">
        <v>77</v>
      </c>
      <c r="D3" s="10" t="s">
        <v>78</v>
      </c>
      <c r="E3" s="8">
        <v>5.12</v>
      </c>
      <c r="F3">
        <v>3.2297310000000001</v>
      </c>
      <c r="G3">
        <v>1.6526999999999989</v>
      </c>
      <c r="H3" s="19">
        <v>4.6100000000000003</v>
      </c>
      <c r="I3" s="20">
        <v>6.6059999999999999</v>
      </c>
    </row>
    <row r="4" spans="1:9" ht="13.8" customHeight="1" thickBot="1" x14ac:dyDescent="0.35">
      <c r="A4" s="9" t="s">
        <v>119</v>
      </c>
      <c r="B4" s="10" t="s">
        <v>79</v>
      </c>
      <c r="C4" s="10" t="s">
        <v>80</v>
      </c>
      <c r="D4" s="10" t="s">
        <v>81</v>
      </c>
      <c r="E4" s="8">
        <v>2.09</v>
      </c>
      <c r="F4">
        <v>2.309237</v>
      </c>
      <c r="G4">
        <v>4.0704999999999991</v>
      </c>
      <c r="H4" s="19">
        <v>2.97</v>
      </c>
      <c r="I4" s="20">
        <v>14.512499999999999</v>
      </c>
    </row>
    <row r="5" spans="1:9" ht="13.8" customHeight="1" thickBot="1" x14ac:dyDescent="0.35">
      <c r="A5" s="9" t="s">
        <v>120</v>
      </c>
      <c r="B5" s="10" t="s">
        <v>82</v>
      </c>
      <c r="C5" s="10" t="s">
        <v>83</v>
      </c>
      <c r="D5" s="10" t="s">
        <v>84</v>
      </c>
      <c r="E5" s="8">
        <v>0.47</v>
      </c>
      <c r="F5">
        <v>1.5271170000000001</v>
      </c>
      <c r="G5">
        <v>1.209099999999999</v>
      </c>
      <c r="H5" s="19">
        <v>2.85</v>
      </c>
      <c r="I5" s="20">
        <v>15.141</v>
      </c>
    </row>
    <row r="6" spans="1:9" ht="13.8" customHeight="1" thickBot="1" x14ac:dyDescent="0.35">
      <c r="A6" s="18" t="s">
        <v>251</v>
      </c>
      <c r="B6" s="10" t="s">
        <v>85</v>
      </c>
      <c r="C6" s="10" t="s">
        <v>86</v>
      </c>
      <c r="D6" s="10" t="s">
        <v>87</v>
      </c>
      <c r="E6" s="8">
        <v>4.32</v>
      </c>
      <c r="F6">
        <v>1.6078920000000001</v>
      </c>
      <c r="G6">
        <v>1.2014999999999989</v>
      </c>
      <c r="H6" s="19">
        <v>2.78</v>
      </c>
      <c r="I6" s="20">
        <v>24.130500000000001</v>
      </c>
    </row>
    <row r="7" spans="1:9" ht="13.8" customHeight="1" thickBot="1" x14ac:dyDescent="0.35">
      <c r="A7" s="9" t="s">
        <v>121</v>
      </c>
      <c r="B7" s="10" t="s">
        <v>88</v>
      </c>
      <c r="C7" s="10" t="s">
        <v>89</v>
      </c>
      <c r="D7" s="10" t="s">
        <v>90</v>
      </c>
      <c r="E7" s="8">
        <v>4.87</v>
      </c>
      <c r="F7">
        <v>2.444563</v>
      </c>
      <c r="G7">
        <v>7.7651899999999996</v>
      </c>
      <c r="H7" s="19">
        <v>1.9</v>
      </c>
      <c r="I7" s="20">
        <v>11.372999999999999</v>
      </c>
    </row>
    <row r="8" spans="1:9" ht="13.8" customHeight="1" thickBot="1" x14ac:dyDescent="0.35">
      <c r="A8" s="9" t="s">
        <v>122</v>
      </c>
      <c r="B8" s="10" t="s">
        <v>91</v>
      </c>
      <c r="C8" s="10" t="s">
        <v>92</v>
      </c>
      <c r="D8" s="10" t="s">
        <v>93</v>
      </c>
      <c r="E8" s="8">
        <v>4.16</v>
      </c>
      <c r="F8">
        <v>1.8002309999999999</v>
      </c>
      <c r="G8">
        <v>4.3638399999999997</v>
      </c>
      <c r="H8" s="19">
        <v>6.18</v>
      </c>
      <c r="I8" s="20">
        <v>17.8185</v>
      </c>
    </row>
    <row r="9" spans="1:9" ht="13.8" customHeight="1" thickBot="1" x14ac:dyDescent="0.35">
      <c r="A9" s="9" t="s">
        <v>123</v>
      </c>
      <c r="B9" s="10" t="s">
        <v>94</v>
      </c>
      <c r="C9" s="10" t="s">
        <v>95</v>
      </c>
      <c r="D9" s="10" t="s">
        <v>96</v>
      </c>
      <c r="E9" s="8">
        <v>4.17</v>
      </c>
      <c r="F9">
        <v>2.18811</v>
      </c>
      <c r="G9">
        <v>0.32169999999999987</v>
      </c>
      <c r="H9" s="19">
        <v>5.62</v>
      </c>
      <c r="I9" s="20">
        <v>17.655000000000001</v>
      </c>
    </row>
    <row r="10" spans="1:9" ht="13.8" customHeight="1" thickBot="1" x14ac:dyDescent="0.35">
      <c r="A10" s="9" t="s">
        <v>124</v>
      </c>
      <c r="B10" s="10" t="s">
        <v>97</v>
      </c>
      <c r="C10" s="10" t="s">
        <v>98</v>
      </c>
      <c r="D10" s="10" t="s">
        <v>99</v>
      </c>
      <c r="E10" s="8">
        <v>4.38</v>
      </c>
      <c r="F10">
        <v>2.365561</v>
      </c>
      <c r="G10">
        <v>0.75269999999999904</v>
      </c>
      <c r="H10" s="19">
        <v>5.79</v>
      </c>
      <c r="I10" s="20">
        <v>9.9719999999999995</v>
      </c>
    </row>
    <row r="11" spans="1:9" ht="13.8" customHeight="1" thickBot="1" x14ac:dyDescent="0.35">
      <c r="A11" s="9" t="s">
        <v>125</v>
      </c>
      <c r="B11" s="10" t="s">
        <v>100</v>
      </c>
      <c r="C11" s="10" t="s">
        <v>101</v>
      </c>
      <c r="D11" s="10" t="s">
        <v>102</v>
      </c>
      <c r="E11" s="8">
        <v>1.78</v>
      </c>
      <c r="F11">
        <v>2.5170430000000001</v>
      </c>
      <c r="G11">
        <v>0.45630000000000059</v>
      </c>
      <c r="H11" s="19">
        <v>5.74</v>
      </c>
      <c r="I11" s="20">
        <v>4.2104999999999997</v>
      </c>
    </row>
    <row r="12" spans="1:9" ht="13.8" customHeight="1" thickBot="1" x14ac:dyDescent="0.35">
      <c r="A12" s="9" t="s">
        <v>126</v>
      </c>
      <c r="B12" s="10" t="s">
        <v>103</v>
      </c>
      <c r="C12" s="10" t="s">
        <v>104</v>
      </c>
      <c r="D12" s="10" t="s">
        <v>105</v>
      </c>
      <c r="E12" s="8">
        <v>1.42</v>
      </c>
      <c r="F12">
        <v>1.213883</v>
      </c>
      <c r="G12">
        <v>0.1242000000000001</v>
      </c>
      <c r="H12" s="19">
        <v>5.09</v>
      </c>
      <c r="I12" s="20">
        <v>20.709</v>
      </c>
    </row>
    <row r="13" spans="1:9" ht="13.8" customHeight="1" thickBot="1" x14ac:dyDescent="0.35">
      <c r="A13" s="9" t="s">
        <v>127</v>
      </c>
      <c r="B13" s="10" t="s">
        <v>106</v>
      </c>
      <c r="C13" s="10" t="s">
        <v>107</v>
      </c>
      <c r="D13" s="10" t="s">
        <v>108</v>
      </c>
      <c r="E13" s="8">
        <v>-0.08</v>
      </c>
      <c r="F13">
        <v>0.11386</v>
      </c>
      <c r="G13">
        <v>1.0306999999999999</v>
      </c>
      <c r="H13" s="19">
        <v>2.73</v>
      </c>
      <c r="I13" s="20">
        <v>5.8034999999999997</v>
      </c>
    </row>
    <row r="14" spans="1:9" ht="13.8" customHeight="1" thickBot="1" x14ac:dyDescent="0.35">
      <c r="A14" s="9" t="s">
        <v>128</v>
      </c>
      <c r="B14" s="10" t="s">
        <v>109</v>
      </c>
      <c r="C14" s="10" t="s">
        <v>110</v>
      </c>
      <c r="D14" s="10" t="s">
        <v>111</v>
      </c>
      <c r="E14" s="8">
        <v>0.18</v>
      </c>
      <c r="F14">
        <v>0.89873999999999998</v>
      </c>
      <c r="G14">
        <v>-1.9999999999953391E-4</v>
      </c>
      <c r="H14" s="19">
        <v>2.2599999999999998</v>
      </c>
      <c r="I14" s="20">
        <v>2.7284999999999999</v>
      </c>
    </row>
    <row r="15" spans="1:9" ht="13.8" customHeight="1" thickBot="1" x14ac:dyDescent="0.35">
      <c r="A15" s="9" t="s">
        <v>129</v>
      </c>
      <c r="B15" s="10" t="s">
        <v>112</v>
      </c>
      <c r="C15" s="10" t="s">
        <v>113</v>
      </c>
      <c r="D15" s="10" t="s">
        <v>114</v>
      </c>
      <c r="E15" s="8">
        <v>0.18</v>
      </c>
      <c r="F15">
        <v>0.40680899999999998</v>
      </c>
      <c r="G15">
        <v>0.87330000000000041</v>
      </c>
      <c r="H15" s="19">
        <v>2.17</v>
      </c>
      <c r="I15" s="20">
        <v>1.1655</v>
      </c>
    </row>
    <row r="17" spans="2:2" ht="14.4" thickBot="1" x14ac:dyDescent="0.3"/>
    <row r="18" spans="2:2" ht="15" thickBot="1" x14ac:dyDescent="0.3">
      <c r="B18" s="10"/>
    </row>
    <row r="19" spans="2:2" ht="15" thickBot="1" x14ac:dyDescent="0.3">
      <c r="B19" s="10"/>
    </row>
    <row r="20" spans="2:2" ht="15" thickBot="1" x14ac:dyDescent="0.3">
      <c r="B20" s="10"/>
    </row>
    <row r="21" spans="2:2" ht="15" thickBot="1" x14ac:dyDescent="0.3">
      <c r="B21" s="10"/>
    </row>
    <row r="22" spans="2:2" ht="15" thickBot="1" x14ac:dyDescent="0.3">
      <c r="B22" s="10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FD8CD-EE56-41D1-828E-331A46E05526}">
  <dimension ref="A1:E38"/>
  <sheetViews>
    <sheetView workbookViewId="0">
      <selection activeCell="E14" sqref="E14"/>
    </sheetView>
  </sheetViews>
  <sheetFormatPr defaultRowHeight="13.8" x14ac:dyDescent="0.25"/>
  <cols>
    <col min="1" max="2" width="17.77734375" customWidth="1"/>
    <col min="3" max="3" width="30.44140625" customWidth="1"/>
    <col min="5" max="5" width="13.77734375" customWidth="1"/>
  </cols>
  <sheetData>
    <row r="1" spans="1:5" ht="15" thickBot="1" x14ac:dyDescent="0.3">
      <c r="A1" t="s">
        <v>154</v>
      </c>
      <c r="B1" t="s">
        <v>155</v>
      </c>
      <c r="C1" s="7" t="s">
        <v>161</v>
      </c>
      <c r="D1" t="s">
        <v>162</v>
      </c>
      <c r="E1" t="s">
        <v>160</v>
      </c>
    </row>
    <row r="2" spans="1:5" ht="15" thickBot="1" x14ac:dyDescent="0.3">
      <c r="A2" t="s">
        <v>153</v>
      </c>
      <c r="B2" t="s">
        <v>156</v>
      </c>
      <c r="C2" s="9" t="s">
        <v>163</v>
      </c>
      <c r="D2" t="s">
        <v>164</v>
      </c>
      <c r="E2" t="s">
        <v>208</v>
      </c>
    </row>
    <row r="3" spans="1:5" ht="15" thickBot="1" x14ac:dyDescent="0.3">
      <c r="A3" t="s">
        <v>153</v>
      </c>
      <c r="B3" t="s">
        <v>156</v>
      </c>
      <c r="C3" s="9" t="s">
        <v>165</v>
      </c>
      <c r="D3" t="s">
        <v>166</v>
      </c>
      <c r="E3" t="s">
        <v>209</v>
      </c>
    </row>
    <row r="4" spans="1:5" ht="15" thickBot="1" x14ac:dyDescent="0.3">
      <c r="A4" t="s">
        <v>152</v>
      </c>
      <c r="B4" t="s">
        <v>156</v>
      </c>
      <c r="C4" s="9" t="s">
        <v>167</v>
      </c>
      <c r="D4" t="s">
        <v>168</v>
      </c>
      <c r="E4" t="s">
        <v>210</v>
      </c>
    </row>
    <row r="5" spans="1:5" ht="15" thickBot="1" x14ac:dyDescent="0.3">
      <c r="A5" t="s">
        <v>152</v>
      </c>
      <c r="B5" t="s">
        <v>156</v>
      </c>
      <c r="C5" s="9" t="s">
        <v>169</v>
      </c>
      <c r="D5" t="s">
        <v>170</v>
      </c>
      <c r="E5" t="s">
        <v>211</v>
      </c>
    </row>
    <row r="6" spans="1:5" ht="15" thickBot="1" x14ac:dyDescent="0.3">
      <c r="A6" t="s">
        <v>152</v>
      </c>
      <c r="B6" t="s">
        <v>156</v>
      </c>
      <c r="C6" s="9" t="s">
        <v>167</v>
      </c>
      <c r="D6" t="s">
        <v>171</v>
      </c>
      <c r="E6" t="s">
        <v>212</v>
      </c>
    </row>
    <row r="7" spans="1:5" ht="15" thickBot="1" x14ac:dyDescent="0.3">
      <c r="A7" t="s">
        <v>152</v>
      </c>
      <c r="B7" t="s">
        <v>156</v>
      </c>
      <c r="C7" s="9" t="s">
        <v>167</v>
      </c>
      <c r="D7" t="s">
        <v>172</v>
      </c>
      <c r="E7" t="s">
        <v>213</v>
      </c>
    </row>
    <row r="8" spans="1:5" ht="15" thickBot="1" x14ac:dyDescent="0.3">
      <c r="A8" t="s">
        <v>152</v>
      </c>
      <c r="B8" t="s">
        <v>156</v>
      </c>
      <c r="C8" s="9" t="s">
        <v>173</v>
      </c>
      <c r="D8" t="s">
        <v>174</v>
      </c>
      <c r="E8" t="s">
        <v>214</v>
      </c>
    </row>
    <row r="9" spans="1:5" ht="15" thickBot="1" x14ac:dyDescent="0.3">
      <c r="A9" t="s">
        <v>152</v>
      </c>
      <c r="B9" t="s">
        <v>156</v>
      </c>
      <c r="C9" s="9" t="s">
        <v>167</v>
      </c>
      <c r="D9" t="s">
        <v>175</v>
      </c>
      <c r="E9" t="s">
        <v>215</v>
      </c>
    </row>
    <row r="10" spans="1:5" ht="15" thickBot="1" x14ac:dyDescent="0.3">
      <c r="A10" t="s">
        <v>152</v>
      </c>
      <c r="B10" t="s">
        <v>156</v>
      </c>
      <c r="C10" s="9" t="s">
        <v>167</v>
      </c>
      <c r="D10" t="s">
        <v>176</v>
      </c>
      <c r="E10" t="s">
        <v>216</v>
      </c>
    </row>
    <row r="11" spans="1:5" ht="15" thickBot="1" x14ac:dyDescent="0.3">
      <c r="A11" t="s">
        <v>152</v>
      </c>
      <c r="B11" t="s">
        <v>156</v>
      </c>
      <c r="C11" s="9" t="s">
        <v>167</v>
      </c>
      <c r="D11" t="s">
        <v>177</v>
      </c>
      <c r="E11" t="s">
        <v>217</v>
      </c>
    </row>
    <row r="12" spans="1:5" ht="15" thickBot="1" x14ac:dyDescent="0.3">
      <c r="A12" t="s">
        <v>152</v>
      </c>
      <c r="B12" t="s">
        <v>156</v>
      </c>
      <c r="C12" s="9" t="s">
        <v>167</v>
      </c>
      <c r="D12" t="s">
        <v>178</v>
      </c>
      <c r="E12" t="s">
        <v>218</v>
      </c>
    </row>
    <row r="13" spans="1:5" ht="15" thickBot="1" x14ac:dyDescent="0.3">
      <c r="A13" t="s">
        <v>152</v>
      </c>
      <c r="B13" t="s">
        <v>156</v>
      </c>
      <c r="C13" s="18" t="s">
        <v>248</v>
      </c>
      <c r="D13" t="s">
        <v>179</v>
      </c>
      <c r="E13" t="s">
        <v>249</v>
      </c>
    </row>
    <row r="14" spans="1:5" ht="15" thickBot="1" x14ac:dyDescent="0.3">
      <c r="A14" t="s">
        <v>152</v>
      </c>
      <c r="B14" t="s">
        <v>156</v>
      </c>
      <c r="C14" s="9" t="s">
        <v>167</v>
      </c>
      <c r="D14" t="s">
        <v>180</v>
      </c>
      <c r="E14" t="s">
        <v>219</v>
      </c>
    </row>
    <row r="15" spans="1:5" ht="15" thickBot="1" x14ac:dyDescent="0.3">
      <c r="A15" t="s">
        <v>152</v>
      </c>
      <c r="B15" t="s">
        <v>156</v>
      </c>
      <c r="C15" s="9" t="s">
        <v>181</v>
      </c>
      <c r="D15" t="s">
        <v>182</v>
      </c>
      <c r="E15" t="s">
        <v>220</v>
      </c>
    </row>
    <row r="16" spans="1:5" ht="15" thickBot="1" x14ac:dyDescent="0.3">
      <c r="A16" t="s">
        <v>152</v>
      </c>
      <c r="B16" t="s">
        <v>156</v>
      </c>
      <c r="C16" s="9" t="s">
        <v>167</v>
      </c>
      <c r="D16" t="s">
        <v>183</v>
      </c>
      <c r="E16" t="s">
        <v>221</v>
      </c>
    </row>
    <row r="17" spans="1:5" ht="15" thickBot="1" x14ac:dyDescent="0.3">
      <c r="A17" t="s">
        <v>152</v>
      </c>
      <c r="B17" t="s">
        <v>156</v>
      </c>
      <c r="C17" s="9" t="s">
        <v>169</v>
      </c>
      <c r="D17" t="s">
        <v>184</v>
      </c>
      <c r="E17" t="s">
        <v>222</v>
      </c>
    </row>
    <row r="18" spans="1:5" ht="15" thickBot="1" x14ac:dyDescent="0.3">
      <c r="A18" t="s">
        <v>152</v>
      </c>
      <c r="B18" t="s">
        <v>156</v>
      </c>
      <c r="C18" s="9" t="s">
        <v>167</v>
      </c>
      <c r="D18" t="s">
        <v>185</v>
      </c>
      <c r="E18" t="s">
        <v>223</v>
      </c>
    </row>
    <row r="19" spans="1:5" ht="15" thickBot="1" x14ac:dyDescent="0.3">
      <c r="A19" t="s">
        <v>152</v>
      </c>
      <c r="B19" t="s">
        <v>156</v>
      </c>
      <c r="C19" s="9" t="s">
        <v>167</v>
      </c>
      <c r="D19" t="s">
        <v>186</v>
      </c>
      <c r="E19" t="s">
        <v>224</v>
      </c>
    </row>
    <row r="20" spans="1:5" ht="15" thickBot="1" x14ac:dyDescent="0.3">
      <c r="A20" t="s">
        <v>152</v>
      </c>
      <c r="B20" t="s">
        <v>156</v>
      </c>
      <c r="C20" s="3" t="s">
        <v>187</v>
      </c>
      <c r="D20" t="s">
        <v>188</v>
      </c>
      <c r="E20" t="s">
        <v>225</v>
      </c>
    </row>
    <row r="21" spans="1:5" ht="15" thickBot="1" x14ac:dyDescent="0.3">
      <c r="A21" t="s">
        <v>152</v>
      </c>
      <c r="B21" t="s">
        <v>156</v>
      </c>
      <c r="C21" s="5" t="s">
        <v>187</v>
      </c>
      <c r="D21" t="s">
        <v>189</v>
      </c>
      <c r="E21" t="s">
        <v>226</v>
      </c>
    </row>
    <row r="22" spans="1:5" ht="15" thickBot="1" x14ac:dyDescent="0.3">
      <c r="A22" t="s">
        <v>152</v>
      </c>
      <c r="B22" t="s">
        <v>156</v>
      </c>
      <c r="C22" s="3" t="s">
        <v>187</v>
      </c>
      <c r="D22" t="s">
        <v>190</v>
      </c>
      <c r="E22" t="s">
        <v>227</v>
      </c>
    </row>
    <row r="23" spans="1:5" ht="15" thickBot="1" x14ac:dyDescent="0.3">
      <c r="A23" t="s">
        <v>152</v>
      </c>
      <c r="B23" t="s">
        <v>156</v>
      </c>
      <c r="C23" s="5" t="s">
        <v>187</v>
      </c>
      <c r="D23" t="s">
        <v>191</v>
      </c>
      <c r="E23" t="s">
        <v>228</v>
      </c>
    </row>
    <row r="24" spans="1:5" ht="15" thickBot="1" x14ac:dyDescent="0.3">
      <c r="A24" t="s">
        <v>152</v>
      </c>
      <c r="B24" t="s">
        <v>156</v>
      </c>
      <c r="C24" s="3" t="s">
        <v>187</v>
      </c>
      <c r="D24" t="s">
        <v>192</v>
      </c>
      <c r="E24" t="s">
        <v>229</v>
      </c>
    </row>
    <row r="25" spans="1:5" ht="15" thickBot="1" x14ac:dyDescent="0.3">
      <c r="A25" t="s">
        <v>157</v>
      </c>
      <c r="B25" t="s">
        <v>159</v>
      </c>
      <c r="C25" s="18" t="s">
        <v>193</v>
      </c>
      <c r="D25" t="s">
        <v>194</v>
      </c>
      <c r="E25" t="s">
        <v>230</v>
      </c>
    </row>
    <row r="26" spans="1:5" ht="15" thickBot="1" x14ac:dyDescent="0.3">
      <c r="A26" t="s">
        <v>157</v>
      </c>
      <c r="B26" t="s">
        <v>159</v>
      </c>
      <c r="C26" s="18" t="s">
        <v>167</v>
      </c>
      <c r="D26" t="s">
        <v>195</v>
      </c>
      <c r="E26" t="s">
        <v>231</v>
      </c>
    </row>
    <row r="27" spans="1:5" ht="15" thickBot="1" x14ac:dyDescent="0.3">
      <c r="A27" t="s">
        <v>158</v>
      </c>
      <c r="B27" t="s">
        <v>159</v>
      </c>
      <c r="C27" s="18" t="s">
        <v>161</v>
      </c>
      <c r="D27" t="s">
        <v>196</v>
      </c>
      <c r="E27" t="s">
        <v>232</v>
      </c>
    </row>
    <row r="28" spans="1:5" ht="15" thickBot="1" x14ac:dyDescent="0.3">
      <c r="A28" t="s">
        <v>158</v>
      </c>
      <c r="B28" t="s">
        <v>159</v>
      </c>
      <c r="C28" s="18" t="s">
        <v>193</v>
      </c>
      <c r="D28" t="s">
        <v>197</v>
      </c>
      <c r="E28" t="s">
        <v>233</v>
      </c>
    </row>
    <row r="29" spans="1:5" ht="15" thickBot="1" x14ac:dyDescent="0.3">
      <c r="A29" t="s">
        <v>158</v>
      </c>
      <c r="B29" t="s">
        <v>159</v>
      </c>
      <c r="C29" s="18" t="s">
        <v>181</v>
      </c>
      <c r="D29" t="s">
        <v>198</v>
      </c>
      <c r="E29" t="s">
        <v>234</v>
      </c>
    </row>
    <row r="30" spans="1:5" ht="15" thickBot="1" x14ac:dyDescent="0.3">
      <c r="A30" t="s">
        <v>158</v>
      </c>
      <c r="B30" t="s">
        <v>159</v>
      </c>
      <c r="C30" s="18" t="s">
        <v>167</v>
      </c>
      <c r="D30" t="s">
        <v>199</v>
      </c>
      <c r="E30" t="s">
        <v>235</v>
      </c>
    </row>
    <row r="31" spans="1:5" ht="15" thickBot="1" x14ac:dyDescent="0.3">
      <c r="A31" t="s">
        <v>158</v>
      </c>
      <c r="B31" t="s">
        <v>159</v>
      </c>
      <c r="C31" s="18" t="s">
        <v>167</v>
      </c>
      <c r="D31" t="s">
        <v>200</v>
      </c>
      <c r="E31" t="s">
        <v>236</v>
      </c>
    </row>
    <row r="32" spans="1:5" ht="15" thickBot="1" x14ac:dyDescent="0.3">
      <c r="A32" t="s">
        <v>158</v>
      </c>
      <c r="B32" t="s">
        <v>159</v>
      </c>
      <c r="C32" s="18" t="s">
        <v>167</v>
      </c>
      <c r="D32" t="s">
        <v>201</v>
      </c>
      <c r="E32" t="s">
        <v>237</v>
      </c>
    </row>
    <row r="33" spans="1:5" ht="15" thickBot="1" x14ac:dyDescent="0.3">
      <c r="A33" t="s">
        <v>158</v>
      </c>
      <c r="B33" t="s">
        <v>159</v>
      </c>
      <c r="C33" s="18" t="s">
        <v>167</v>
      </c>
      <c r="D33" t="s">
        <v>202</v>
      </c>
      <c r="E33" t="s">
        <v>238</v>
      </c>
    </row>
    <row r="34" spans="1:5" ht="15" thickBot="1" x14ac:dyDescent="0.3">
      <c r="A34" t="s">
        <v>158</v>
      </c>
      <c r="B34" t="s">
        <v>159</v>
      </c>
      <c r="C34" s="18" t="s">
        <v>167</v>
      </c>
      <c r="D34" t="s">
        <v>203</v>
      </c>
      <c r="E34" t="s">
        <v>239</v>
      </c>
    </row>
    <row r="35" spans="1:5" ht="15" thickBot="1" x14ac:dyDescent="0.3">
      <c r="A35" t="s">
        <v>158</v>
      </c>
      <c r="B35" t="s">
        <v>159</v>
      </c>
      <c r="C35" s="18" t="s">
        <v>187</v>
      </c>
      <c r="D35" t="s">
        <v>204</v>
      </c>
      <c r="E35" t="s">
        <v>240</v>
      </c>
    </row>
    <row r="36" spans="1:5" ht="15" thickBot="1" x14ac:dyDescent="0.3">
      <c r="A36" t="s">
        <v>158</v>
      </c>
      <c r="B36" t="s">
        <v>159</v>
      </c>
      <c r="C36" s="18" t="s">
        <v>187</v>
      </c>
      <c r="D36" t="s">
        <v>205</v>
      </c>
      <c r="E36" t="s">
        <v>241</v>
      </c>
    </row>
    <row r="37" spans="1:5" ht="15" thickBot="1" x14ac:dyDescent="0.3">
      <c r="A37" t="s">
        <v>158</v>
      </c>
      <c r="B37" t="s">
        <v>159</v>
      </c>
      <c r="C37" s="18" t="s">
        <v>187</v>
      </c>
      <c r="D37" t="s">
        <v>206</v>
      </c>
      <c r="E37" t="s">
        <v>242</v>
      </c>
    </row>
    <row r="38" spans="1:5" ht="15" thickBot="1" x14ac:dyDescent="0.3">
      <c r="A38" t="s">
        <v>158</v>
      </c>
      <c r="B38" t="s">
        <v>159</v>
      </c>
      <c r="C38" s="18" t="s">
        <v>187</v>
      </c>
      <c r="D38" t="s">
        <v>207</v>
      </c>
      <c r="E38" t="s">
        <v>243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A0D5DE5-69F9-4DE5-BCA5-DDDCE6F5201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merge</vt:lpstr>
      <vt:lpstr>1ETF</vt:lpstr>
      <vt:lpstr>1G70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hello1</dc:creator>
  <cp:lastModifiedBy>hello1</cp:lastModifiedBy>
  <dcterms:created xsi:type="dcterms:W3CDTF">2015-06-05T18:19:34Z</dcterms:created>
  <dcterms:modified xsi:type="dcterms:W3CDTF">2026-07-29T03:16:44Z</dcterms:modified>
</cp:coreProperties>
</file>